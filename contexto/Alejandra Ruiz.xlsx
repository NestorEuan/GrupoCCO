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0 CCOMEX 29062025\Empresas CCO\002 Empresas\Kaogon\Novitech\"/>
    </mc:Choice>
  </mc:AlternateContent>
  <xr:revisionPtr revIDLastSave="0" documentId="13_ncr:1_{98E4BDA5-7D3B-4F56-B2DF-87768140AC29}" xr6:coauthVersionLast="47" xr6:coauthVersionMax="47" xr10:uidLastSave="{00000000-0000-0000-0000-000000000000}"/>
  <bookViews>
    <workbookView xWindow="-120" yWindow="-120" windowWidth="20730" windowHeight="11040" tabRatio="911" xr2:uid="{00000000-000D-0000-FFFF-FFFF00000000}"/>
  </bookViews>
  <sheets>
    <sheet name="Consolidado" sheetId="1" r:id="rId1"/>
    <sheet name="Filosofía Organizacional" sheetId="2" r:id="rId2"/>
    <sheet name="Estrategias Organizacionales" sheetId="3" r:id="rId3"/>
    <sheet name="Enfoque a Cl Usua y Mdos" sheetId="4" r:id="rId4"/>
    <sheet name="Recursos Humanos" sheetId="5" r:id="rId5"/>
    <sheet name="Dis y Des de Prod Proc Servs" sheetId="6" r:id="rId6"/>
    <sheet name="Procesos" sheetId="7" r:id="rId7"/>
    <sheet name="Proveedores" sheetId="8" r:id="rId8"/>
    <sheet name="Impacto Ambiental" sheetId="9" r:id="rId9"/>
    <sheet name="Factores Psicosociales" sheetId="11" r:id="rId10"/>
    <sheet name="Resiliencia y Gestión Entornos" sheetId="12" r:id="rId11"/>
    <sheet name="Resultados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8" i="10" l="1"/>
  <c r="F58" i="10"/>
  <c r="E58" i="10"/>
  <c r="D58" i="10"/>
  <c r="C58" i="10"/>
  <c r="B58" i="10"/>
  <c r="H58" i="10" s="1"/>
  <c r="C30" i="1" s="1"/>
  <c r="G54" i="10"/>
  <c r="F54" i="10"/>
  <c r="E54" i="10"/>
  <c r="D54" i="10"/>
  <c r="C54" i="10"/>
  <c r="B54" i="10"/>
  <c r="H54" i="10" s="1"/>
  <c r="C29" i="1" s="1"/>
  <c r="G8" i="12"/>
  <c r="G7" i="12"/>
  <c r="F7" i="12"/>
  <c r="F8" i="12" s="1"/>
  <c r="E7" i="12"/>
  <c r="E8" i="12" s="1"/>
  <c r="D7" i="12"/>
  <c r="D8" i="12" s="1"/>
  <c r="C7" i="12"/>
  <c r="C8" i="12" s="1"/>
  <c r="B7" i="12"/>
  <c r="B8" i="12" s="1"/>
  <c r="G28" i="11"/>
  <c r="F28" i="11"/>
  <c r="E28" i="11"/>
  <c r="D28" i="11"/>
  <c r="C28" i="11"/>
  <c r="B28" i="11"/>
  <c r="G24" i="11"/>
  <c r="F24" i="11"/>
  <c r="E24" i="11"/>
  <c r="D24" i="11"/>
  <c r="C24" i="11"/>
  <c r="B24" i="11"/>
  <c r="G19" i="11"/>
  <c r="F19" i="11"/>
  <c r="E19" i="11"/>
  <c r="D19" i="11"/>
  <c r="C19" i="11"/>
  <c r="B19" i="11"/>
  <c r="G11" i="11"/>
  <c r="F11" i="11"/>
  <c r="E11" i="11"/>
  <c r="D11" i="11"/>
  <c r="C11" i="11"/>
  <c r="B11" i="11"/>
  <c r="G11" i="5"/>
  <c r="F11" i="5"/>
  <c r="E11" i="5"/>
  <c r="D11" i="5"/>
  <c r="C11" i="5"/>
  <c r="B11" i="5"/>
  <c r="G50" i="10"/>
  <c r="F50" i="10"/>
  <c r="E50" i="10"/>
  <c r="D50" i="10"/>
  <c r="C50" i="10"/>
  <c r="B50" i="10"/>
  <c r="G46" i="10"/>
  <c r="F46" i="10"/>
  <c r="E46" i="10"/>
  <c r="D46" i="10"/>
  <c r="C46" i="10"/>
  <c r="B46" i="10"/>
  <c r="G35" i="10"/>
  <c r="F35" i="10"/>
  <c r="E35" i="10"/>
  <c r="D35" i="10"/>
  <c r="C35" i="10"/>
  <c r="B35" i="10"/>
  <c r="G29" i="10"/>
  <c r="F29" i="10"/>
  <c r="E29" i="10"/>
  <c r="D29" i="10"/>
  <c r="C29" i="10"/>
  <c r="B29" i="10"/>
  <c r="G15" i="10"/>
  <c r="F15" i="10"/>
  <c r="E15" i="10"/>
  <c r="D15" i="10"/>
  <c r="C15" i="10"/>
  <c r="B15" i="10"/>
  <c r="G7" i="10"/>
  <c r="F7" i="10"/>
  <c r="E7" i="10"/>
  <c r="D7" i="10"/>
  <c r="C7" i="10"/>
  <c r="B7" i="10"/>
  <c r="G5" i="9"/>
  <c r="G6" i="9" s="1"/>
  <c r="F5" i="9"/>
  <c r="F6" i="9" s="1"/>
  <c r="E5" i="9"/>
  <c r="E6" i="9" s="1"/>
  <c r="D5" i="9"/>
  <c r="D6" i="9" s="1"/>
  <c r="C5" i="9"/>
  <c r="C6" i="9" s="1"/>
  <c r="B5" i="9"/>
  <c r="B6" i="9" s="1"/>
  <c r="G7" i="8"/>
  <c r="G8" i="8" s="1"/>
  <c r="F7" i="8"/>
  <c r="F8" i="8" s="1"/>
  <c r="E7" i="8"/>
  <c r="E8" i="8" s="1"/>
  <c r="D7" i="8"/>
  <c r="D8" i="8" s="1"/>
  <c r="C7" i="8"/>
  <c r="C8" i="8" s="1"/>
  <c r="B7" i="8"/>
  <c r="B8" i="8" s="1"/>
  <c r="G18" i="7"/>
  <c r="F18" i="7"/>
  <c r="E18" i="7"/>
  <c r="D18" i="7"/>
  <c r="C18" i="7"/>
  <c r="B18" i="7"/>
  <c r="G10" i="7"/>
  <c r="F10" i="7"/>
  <c r="E10" i="7"/>
  <c r="D10" i="7"/>
  <c r="C10" i="7"/>
  <c r="B10" i="7"/>
  <c r="B19" i="7" s="1"/>
  <c r="G8" i="6"/>
  <c r="F8" i="6"/>
  <c r="F9" i="6" s="1"/>
  <c r="E8" i="6"/>
  <c r="E9" i="6" s="1"/>
  <c r="D8" i="6"/>
  <c r="D9" i="6" s="1"/>
  <c r="C8" i="6"/>
  <c r="C9" i="6" s="1"/>
  <c r="B8" i="6"/>
  <c r="B9" i="6" s="1"/>
  <c r="G25" i="5"/>
  <c r="F25" i="5"/>
  <c r="E25" i="5"/>
  <c r="D25" i="5"/>
  <c r="C25" i="5"/>
  <c r="B25" i="5"/>
  <c r="G18" i="5"/>
  <c r="F18" i="5"/>
  <c r="E18" i="5"/>
  <c r="D18" i="5"/>
  <c r="C18" i="5"/>
  <c r="B18" i="5"/>
  <c r="G5" i="5"/>
  <c r="F5" i="5"/>
  <c r="E5" i="5"/>
  <c r="D5" i="5"/>
  <c r="C5" i="5"/>
  <c r="B5" i="5"/>
  <c r="G18" i="4"/>
  <c r="F18" i="4"/>
  <c r="E18" i="4"/>
  <c r="D18" i="4"/>
  <c r="C18" i="4"/>
  <c r="B18" i="4"/>
  <c r="G10" i="4"/>
  <c r="F10" i="4"/>
  <c r="E10" i="4"/>
  <c r="D10" i="4"/>
  <c r="C10" i="4"/>
  <c r="B10" i="4"/>
  <c r="G28" i="3"/>
  <c r="F28" i="3"/>
  <c r="E28" i="3"/>
  <c r="D28" i="3"/>
  <c r="C28" i="3"/>
  <c r="B28" i="3"/>
  <c r="G23" i="3"/>
  <c r="F23" i="3"/>
  <c r="E23" i="3"/>
  <c r="D23" i="3"/>
  <c r="C23" i="3"/>
  <c r="B23" i="3"/>
  <c r="G12" i="3"/>
  <c r="F12" i="3"/>
  <c r="E12" i="3"/>
  <c r="D12" i="3"/>
  <c r="C12" i="3"/>
  <c r="B12" i="3"/>
  <c r="G15" i="2"/>
  <c r="F15" i="2"/>
  <c r="E15" i="2"/>
  <c r="D15" i="2"/>
  <c r="C15" i="2"/>
  <c r="B15" i="2"/>
  <c r="G8" i="2"/>
  <c r="F8" i="2"/>
  <c r="E8" i="2"/>
  <c r="D8" i="2"/>
  <c r="C8" i="2"/>
  <c r="B8" i="2"/>
  <c r="F26" i="5" l="1"/>
  <c r="G26" i="5"/>
  <c r="E26" i="5"/>
  <c r="D26" i="5"/>
  <c r="H6" i="9"/>
  <c r="C29" i="11"/>
  <c r="D29" i="11"/>
  <c r="H8" i="2"/>
  <c r="C2" i="1" s="1"/>
  <c r="H50" i="10"/>
  <c r="C28" i="1" s="1"/>
  <c r="H28" i="11"/>
  <c r="C21" i="1" s="1"/>
  <c r="H24" i="11"/>
  <c r="C20" i="1" s="1"/>
  <c r="F29" i="11"/>
  <c r="E29" i="11"/>
  <c r="E19" i="4"/>
  <c r="H10" i="4"/>
  <c r="C7" i="1" s="1"/>
  <c r="H29" i="10"/>
  <c r="C25" i="1" s="1"/>
  <c r="H7" i="12"/>
  <c r="C22" i="1" s="1"/>
  <c r="H19" i="11"/>
  <c r="C19" i="1" s="1"/>
  <c r="G29" i="11"/>
  <c r="B29" i="11"/>
  <c r="H5" i="9"/>
  <c r="C17" i="1" s="1"/>
  <c r="G19" i="7"/>
  <c r="H8" i="6"/>
  <c r="C13" i="1" s="1"/>
  <c r="G9" i="6"/>
  <c r="H9" i="6" s="1"/>
  <c r="C26" i="5"/>
  <c r="B26" i="5"/>
  <c r="H5" i="5"/>
  <c r="C9" i="1" s="1"/>
  <c r="H23" i="3"/>
  <c r="C5" i="1" s="1"/>
  <c r="H46" i="10"/>
  <c r="C27" i="1" s="1"/>
  <c r="H7" i="10"/>
  <c r="C23" i="1" s="1"/>
  <c r="H35" i="10"/>
  <c r="C26" i="1" s="1"/>
  <c r="H15" i="10"/>
  <c r="C24" i="1" s="1"/>
  <c r="H8" i="12"/>
  <c r="H11" i="11"/>
  <c r="C18" i="1" s="1"/>
  <c r="H18" i="7"/>
  <c r="C15" i="1" s="1"/>
  <c r="D19" i="7"/>
  <c r="F19" i="7"/>
  <c r="H10" i="7"/>
  <c r="C14" i="1" s="1"/>
  <c r="E19" i="7"/>
  <c r="H11" i="5"/>
  <c r="C10" i="1" s="1"/>
  <c r="H25" i="5"/>
  <c r="C12" i="1" s="1"/>
  <c r="H18" i="5"/>
  <c r="C11" i="1" s="1"/>
  <c r="G19" i="4"/>
  <c r="F19" i="4"/>
  <c r="B19" i="4"/>
  <c r="C19" i="4"/>
  <c r="H18" i="4"/>
  <c r="C8" i="1" s="1"/>
  <c r="D19" i="4"/>
  <c r="G29" i="3"/>
  <c r="H28" i="3"/>
  <c r="C6" i="1" s="1"/>
  <c r="B29" i="3"/>
  <c r="C29" i="3"/>
  <c r="E29" i="3"/>
  <c r="D29" i="3"/>
  <c r="H12" i="3"/>
  <c r="C4" i="1" s="1"/>
  <c r="F16" i="2"/>
  <c r="D16" i="2"/>
  <c r="B16" i="2"/>
  <c r="G16" i="2"/>
  <c r="H15" i="2"/>
  <c r="C3" i="1" s="1"/>
  <c r="E16" i="2"/>
  <c r="H8" i="8"/>
  <c r="F29" i="3"/>
  <c r="C16" i="2"/>
  <c r="C19" i="7"/>
  <c r="H7" i="8"/>
  <c r="C16" i="1" s="1"/>
  <c r="H16" i="2" l="1"/>
  <c r="H29" i="11"/>
  <c r="H26" i="5"/>
  <c r="H19" i="4"/>
  <c r="H29" i="3"/>
  <c r="C32" i="1"/>
  <c r="H19" i="7"/>
</calcChain>
</file>

<file path=xl/sharedStrings.xml><?xml version="1.0" encoding="utf-8"?>
<sst xmlns="http://schemas.openxmlformats.org/spreadsheetml/2006/main" count="255" uniqueCount="188">
  <si>
    <t>Filosofía Organizacional</t>
  </si>
  <si>
    <t>Liderazgo</t>
  </si>
  <si>
    <t>Cultura Organizacional</t>
  </si>
  <si>
    <t>Estrategias Organizacionales</t>
  </si>
  <si>
    <t>Proceso de Planeación Estratégica (corto, mediano y largo plazo)</t>
  </si>
  <si>
    <t>Innovación de Productos, Procesos y Servicios</t>
  </si>
  <si>
    <t>Enfoque a Clientes, Usuarios y Mercados</t>
  </si>
  <si>
    <t>Inteligencia de Mercado</t>
  </si>
  <si>
    <t>Compromiso y Satisfacción</t>
  </si>
  <si>
    <t>Captación de Talento</t>
  </si>
  <si>
    <t>Sistemas de Trabajo</t>
  </si>
  <si>
    <t>Diseño y Desarrollo de Productos, Procesos y/o Servicios</t>
  </si>
  <si>
    <t>Procesos</t>
  </si>
  <si>
    <t>Control de Procesos</t>
  </si>
  <si>
    <t>Administración del Conocimiento</t>
  </si>
  <si>
    <t>Proveedores</t>
  </si>
  <si>
    <t>Selección y Desarrollo de Proveedores</t>
  </si>
  <si>
    <t>Resultados</t>
  </si>
  <si>
    <t>Resultados Financieros</t>
  </si>
  <si>
    <t>Resultados de Clientes, Usuarios y Mercados</t>
  </si>
  <si>
    <t>Resultados de Diseño y Desarrollo de Productos, Procesos y/o Servicios</t>
  </si>
  <si>
    <t>Resultados de Procesos</t>
  </si>
  <si>
    <t>¿Qué y por qué? Actividad y propósito, o alineación estratégica</t>
  </si>
  <si>
    <t>¿Cómo? Descripción de Innovación (Mejora)</t>
  </si>
  <si>
    <t>¿Cuándo? Año</t>
  </si>
  <si>
    <t>¿Cuánto? Impacto (Indicador, $, otro)</t>
  </si>
  <si>
    <t>Benchmarking y/o análisis interno</t>
  </si>
  <si>
    <t>No se tienen datos del indicador</t>
  </si>
  <si>
    <t>Se cuenta con datos del indicador de un año o menos</t>
  </si>
  <si>
    <t>Se cuenta con datos del indicador de dos años y cumplimiento a la meta del año actual</t>
  </si>
  <si>
    <t>Se cuenta con datos de los últimos 3 años con tendencia de mejora y su análisis causal</t>
  </si>
  <si>
    <t>Se cuenta con datos de los últimos 5 años con tendencia a la mejora y su análisis causal</t>
  </si>
  <si>
    <t>Se cuenta con un cumplimiento a todas las metas en los últimos 5 años, se tiene tendencia a la mejora y análisis acusal</t>
  </si>
  <si>
    <t>a) Existe un alto involucramiento de la Dirección y Gerencia en asumir, apoyar e implementar prácticas para la calidad, la excelencia de operación, la mejora continua, la disrupción de negocio y la innovación.</t>
  </si>
  <si>
    <t>b) Las prácticas de liderazgo están implementadas en los diferentes niveles de la organización.</t>
  </si>
  <si>
    <t>c) La Dirección y Gerencia se aseguran de cumplir con los requisitos legales, normativos y regulatorios vinculados a la organización.</t>
  </si>
  <si>
    <t>d) La Dirección y Gerencia se aseguran de contribuir y/o gestionar la administración del cambio en la Organización de forma estratégica, observable, gradual y medible.</t>
  </si>
  <si>
    <t>e) La Dirección y Gerencia se aseguran de integrar y gestionar las directrices de negocio encaminadas a mantener la cadena de valor del negocio de forma sustentable.</t>
  </si>
  <si>
    <t>f) Cuenta la organización con descripción de la Misión, Visión, Valores.</t>
  </si>
  <si>
    <t>g) Se enuncia, promueve y asegura el comportamiento ético en la organización (a través de por ejemplo un código de ética, o reglamento, o procedimientos, o normas).</t>
  </si>
  <si>
    <t>h) Se cuenta con prácticas generalizadas para promover la Creatividad, Innovación y la Mejora Continua en la organización.</t>
  </si>
  <si>
    <t>i) Se cuenta con mecanismos que se utilizan para obtener una comunicación efectiva en la organización.</t>
  </si>
  <si>
    <t>a) Se cuenta con un proceso de planeación estratégica con un horizonte de al menos 3 años, contemplando diferentes escenarios de actuación con base a las variables internas y externas y se revisa anualmente.</t>
  </si>
  <si>
    <t>b) En el proceso de planeación se revisan y actualizan los elementos de la filosofía organizacional</t>
  </si>
  <si>
    <t>c) En el proceso de planeación se analiza la información sobre el sector y sus competidores principales (análisis competitivo), determinando brechas en productos y servicios en materia de precios, condiciones de venta, calidad, atributos, posibilidades de nuevos competidores y prácticas de negocio, tanto en la posición estratégica actual como en la futura de la Organización.</t>
  </si>
  <si>
    <t>d) En el proceso de planeación se integra información relativa al desempeño de la organización: mercado, análisis competitivo, calidad, servicio, financiera, recurso humano, productividad, impacto ambiental.</t>
  </si>
  <si>
    <t xml:space="preserve">e) En su proceso de planeación se incluyen las proyecciones socioeconómicas del entorno, así como las tendencias globales, al mediano y largo plazo. </t>
  </si>
  <si>
    <t>f) En su proceso de planeación se integra la información de clientes: Se tiene identificado el tamaño del mercado, su participación y evolución.</t>
  </si>
  <si>
    <t>g) En su proceso de planeación se integra la información relativa a proveedores, tales como: tendencia en precios, confiabilidad, logística, oferta, entre otros.</t>
  </si>
  <si>
    <t>h) En la organización se tienen definidos los factores clave de éxito y se les da seguimiento.</t>
  </si>
  <si>
    <t>i) En su proceso de planeación se incluye el análisis para el desarrollo de nuevos negocios (Diversificación / Disrupción).</t>
  </si>
  <si>
    <t>Proceso de Planeación Táctica</t>
  </si>
  <si>
    <t xml:space="preserve">j) A partir del proceso de planeación estratégica, la organización cuenta con prácticas utilizadas para la definición de los objetivos, metas (cuantificables) y planes de acción tácticos. </t>
  </si>
  <si>
    <t>k) Se cuenta con modelo de negocio que incluye la determinación de ingresos, egresos, capital de trabajo, cálculo de inversiones, recurso humano y en su caso requerimiento de recursos financieros.</t>
  </si>
  <si>
    <t>l) La organización cuenta con mecanismos para asegurar la efectiva ejecución de sus planes de acción tácticos y cumplimiento de metas.</t>
  </si>
  <si>
    <t>m) En la organización se promueve y se ha protegido la creación de nuevos productos, servicios y/o marcas.</t>
  </si>
  <si>
    <t>n) La organización cuenta con un mecanismo para la administración y gestión de los costos y gastos de la organización en cada uno de sus subsistemas organizacionales.</t>
  </si>
  <si>
    <t>o) La organización cuenta con un mecanismo o mejores prácticas para mejorar la eficiencia de su proceso de producción / operación.</t>
  </si>
  <si>
    <t>p) La organización cuenta con mejores prácticas para la administración y seguimiento del desempeño financiero y fiscal.</t>
  </si>
  <si>
    <t>q) La organización cuenta con mejores prácticas para la administración de inventarios / almacenes / insumos.</t>
  </si>
  <si>
    <t>r) La innovación de los productos, procesos y servicios está alineada a las estrategias de la organización.</t>
  </si>
  <si>
    <t>s) Se cuenta con una descripción clara de las necesidades y expectativas de los clientes, para planear la innovación de sus productos, procesos y servicios.</t>
  </si>
  <si>
    <t>a) Se tienen identificados los segmentos de mercados / clientes / servicios / rentabilidad / estratificación de la cartera de clientes a través de prácticas de Inteligencia Comercial.</t>
  </si>
  <si>
    <t>b) Se cuenta con una estrategia de mercadotecnia para atraer clientes y desarrollar nuevos mercados para posicionar a la organización en sus diferentes segmentos de mercados.</t>
  </si>
  <si>
    <t>c) Se cuenta con métodos para identificar las necesidades actuales y futuras de los diferentes segmentos de mercados / clientes / servicios / rentabilidad. Incluyendo entre otros: precios, canales de distribución, términos y condiciones de venta.</t>
  </si>
  <si>
    <t>d) La organización se asegura de cumplir con los requerimientos de los clientes / usuarios, previo a la contratación del producto y/o servicio.</t>
  </si>
  <si>
    <t>e) La organización incorpora las necesidades y/o requerimientos de los clientes / usuarios a los procesos de negocio.</t>
  </si>
  <si>
    <t>f) Se cuenta con un sistema integral de calidad enfocado a los clientes.</t>
  </si>
  <si>
    <t>g) Se cuenta con un modelo y/o mejor práctica para establecer relaciones de negocio a largo plazo con los clientes.</t>
  </si>
  <si>
    <t>h) Se cuenta con una descripción de los compromisos de calidad y servicio con los clientes / usuarios.</t>
  </si>
  <si>
    <t>i) Se cuenta con un proceso para conocer el grado de satisfacción de los clientes / usuarios.</t>
  </si>
  <si>
    <t>j) La organización incorpora la información de satisfacción de sus clientes / usuarios a los procesos de negocio.</t>
  </si>
  <si>
    <t>k) Se cuenta con un proceso para asegurar la recuperación de los clientes / usuarios perdidos. (Postventa / Venta Cruzada)</t>
  </si>
  <si>
    <t>l) Se cuenta con un proceso para asegurar la atención efectiva de sugerencias, quejas formales e informales.</t>
  </si>
  <si>
    <t>Administración Estratégica de Recursos Humanos</t>
  </si>
  <si>
    <t>a) Se cuenta con un Plan Estratégico de Recursos Humanos (PERH) a partir de los Objetivos Estratégicos de la Organización.</t>
  </si>
  <si>
    <t>b) Se cuentan con mejores prácticas de Recursos Humanos en: Gestión Estratégica de RRHH, Administración de RRHH, Desarrollo de RRHH, Gestión de la Productividad de RRHH, Operación de RRHH y Relaciones Laborales.</t>
  </si>
  <si>
    <t>c) A partir del plan estratégico y del análisis de los procesos son definidos los puestos, así como sus requerimientos en toda la organización.</t>
  </si>
  <si>
    <t>d) Se cuenta con un proceso formal de captación, reclutamiento y selección y retención de talento humano alineado a los requerimientos estratégicos definidos.</t>
  </si>
  <si>
    <t>e) Se cuenta con un proceso de inducción formal para el talento humano.</t>
  </si>
  <si>
    <t>f) Se cuenta con un proceso para detectar las necesidades de capacitación y desarrollo enfocadas a las estrategias de la organización.</t>
  </si>
  <si>
    <t xml:space="preserve">g) Se cuenta con programas de capacitación y desarrollo del talento humano. </t>
  </si>
  <si>
    <t>h) Se cuenta con un proceso de evaluación y/o gestión del desempeño y retroalimentación del talento humano.</t>
  </si>
  <si>
    <t>i) Se cuenta con mecanismos de reconocimiento y compensación al talento humano alineados a la evaluación del desempeño y a la productividad.</t>
  </si>
  <si>
    <t>j) Se cuenta con métodos para promover el involucramiento del talento humano en el logro de los objetivos, tanto en forma individual como grupal.</t>
  </si>
  <si>
    <t>k) Se cuenta con prácticas para asegurar que las condiciones de trabajo sean adecuadas y acordes a normativas aplicables a su organización: seguridad e higiene industrial</t>
  </si>
  <si>
    <t>l) Se cuenta con mecanismos para evaluar la satisfacción del talento humano.</t>
  </si>
  <si>
    <t xml:space="preserve">m) Se cuenta con mecanismos que contribuyen a fomentar el bienestar del talento humano. </t>
  </si>
  <si>
    <t>a) Se cuenta con un proceso para el diseño y modificación de productos, procesos y /o servicios.</t>
  </si>
  <si>
    <t>b) Se cuenta con mecanismos para verificar que el diseño de productos, procesos y/o servicios cumplan con los requerimientos del cliente y la normatividad aplicable previo a su liberación.</t>
  </si>
  <si>
    <t>c) Se cuenta con mecanismos para asegurar que el nuevo diseño del producto, proceso y/o servicio esté libre de fallas durante su operación. Algunos medios pueden ser: simulaciones, pruebas, prototipos, modelaciones, entre otros.</t>
  </si>
  <si>
    <t xml:space="preserve">d) Se cuenta con mecanismos para implementar y/o transferir los diseños de los productos, procesos y/o servicios a las áreas involucradas. </t>
  </si>
  <si>
    <t>e) Se cuentan con mejores prácticas para la optimización de la operación / producción a través de la definición, documentación, análisis, actualización y/o mejora y comunicación de los procesos de negocio de la empresa.</t>
  </si>
  <si>
    <t>a) Se cuenta con clara definición del Macroproceso Organización incluyendo sus indicadores de desempeño.</t>
  </si>
  <si>
    <t>b) Se cuenta con clara definición de los procesos básicos en la organización incluyendo sus indicadores de desempeño.</t>
  </si>
  <si>
    <t>c) Se cuenta con un proceso establecido para el suministro, transporte, almacenaje y aprovechamiento óptimo de los insumos.</t>
  </si>
  <si>
    <t>d) Se cuenta con equipo e instalaciones adecuadas para la operación, así como un programa de mantenimiento que asegure su integridad, operación y seguridad en uso.</t>
  </si>
  <si>
    <t>e) Se cuenta con sistemas de operación que asegure: flexibilidad, minimice desperdicios y retrabajos, reduzca tiempo de ciclos, aumente la productividad del personal y activos.</t>
  </si>
  <si>
    <t>f) Se cuenta con procesos para la administración y control de la documentación de la operación, tales como: facturación, órdenes de compra, registros de operación, pólizas contables, entre otros.</t>
  </si>
  <si>
    <t>g) Se cuenta con mecanismos de control de los procesos básicos.</t>
  </si>
  <si>
    <t>h) Se utiliza la información generada por los mecanismos de control para asegurar que el desempeño de los procesos permita cumplir los requerimientos de diseño.</t>
  </si>
  <si>
    <t>i) Se cuenta con métodos para evaluar, analizar y mejorar los procesos</t>
  </si>
  <si>
    <t>j) Se cuenta con prácticas para asegurar la continuidad de los procesos en situaciones de contingencia en los que pueda verse interrumpido el proceso, producto o servicio.</t>
  </si>
  <si>
    <t>k) Se cuenta con mecanismos para mantener y proteger la información derivada de la administración y seguimiento de los procesos.</t>
  </si>
  <si>
    <t>l) Se cuenta con mecanismos para mantener y proteger el conocimiento tanto el de la operación, así como, el generado a partir de la Innovación y Mejora Continua en la organización.</t>
  </si>
  <si>
    <t>a) Se cuenta con un proceso para la selección de sus proveedores basado en elementos objetivos como: confiabilidad, logística, disponibilidad y precio.</t>
  </si>
  <si>
    <t>b) Se cuenta con mecanismos para asegurar que el producto / servicio solicitado cumple con los requerimientos y especificaciones establecidas dentro de los documentos o fichas técnicas establecidas; así como en su caso, los ciclos de vida correspondientes.</t>
  </si>
  <si>
    <t>c) El proceso para evaluar y retroalimentar el desempeño de los proveedores se basa en el impacto sobre los procesos básicos.</t>
  </si>
  <si>
    <t>d) Se cuenta con prácticas en donde se involucra a los proveedores para definir proyectos orientados a mejorar la competitividad mutua.</t>
  </si>
  <si>
    <t xml:space="preserve">a) Se tienen identificados sus agentes contaminantes y/o responsabilidades ecológicas, derivadas de su operación. </t>
  </si>
  <si>
    <t>b) Se cuenta con procedimientos para cumplir con sus responsabilidades ecológicas y para evitar la contaminación del entorno.</t>
  </si>
  <si>
    <t>Factores de Seguridad y Salud</t>
  </si>
  <si>
    <t xml:space="preserve">a) Se cuentan con procedimientos específicos para contrarrestar los efectos de acontecimientos traumáticos severos (Asaltos, accidentes, secuestros, lesiones, etc.) </t>
  </si>
  <si>
    <t xml:space="preserve">b) Se cuenta con procedimientos para identificar a los colaboradores afectados por algún acontecimiento traumático </t>
  </si>
  <si>
    <t xml:space="preserve">c) Se tienen identificados los puestos que requieren un esfuerzo físico o habilidad específica, además de que son informados a los colaboradores que los realizan desde su integración a la Organización. </t>
  </si>
  <si>
    <t xml:space="preserve">d) Se cuenta con procedimientos para evitar y actuar si existe algún riesgo de accidente en el Trabajo. </t>
  </si>
  <si>
    <t xml:space="preserve">e) Se cuenta con prácticas para fomentar una relación favorable con la comunidad Organizacional </t>
  </si>
  <si>
    <t>f) Se promueve y difunde la filosofía de la organización con la comunidad.</t>
  </si>
  <si>
    <t xml:space="preserve">g) Se cuenta con programas de prevención de violencia laboral dentro de la Organización </t>
  </si>
  <si>
    <t xml:space="preserve">h) Se cuenta con programas de prevención y promoción de la Salud dentro de la Organización  </t>
  </si>
  <si>
    <t>i) Se cuenta con un descriptivo de puesto, en el que los Colaboradores saben exactamente cuáles son sus funciones y métricas de desempeño esperadas.</t>
  </si>
  <si>
    <t>j) Se cuenta con procedimientos y controles para los Colaboradores que son responsables de activos de valor.</t>
  </si>
  <si>
    <t>k) Se cuenta con mejores prácticas para fomentar una relación favorable entre colaboradores y la línea de mando</t>
  </si>
  <si>
    <t>l) Se cuenta con programas de Capacitación orientados a los factores psicosociales definidos de acuerdo con las necesidades de los puestos y del entorno organizacional</t>
  </si>
  <si>
    <t>m) Se cuenta con procesos formales de medición del desempeño de cada uno de los puestos y son informados a los Colaboradores mediante una sesión de retroalimentación</t>
  </si>
  <si>
    <t>Factores del Equilibrio Laboral / Familiar</t>
  </si>
  <si>
    <t>Factores del Desempeño en el Puesto</t>
  </si>
  <si>
    <t>n) Se cuenta con procesos o mejores prácticas relacionadas a las jornadas de trabajo (horas extra, días de descanso, días festivos)</t>
  </si>
  <si>
    <t>ñ) Se cuenta con procesos o mejores prácticas promocionadas por la Organización que contribuyan al bienestar familiar</t>
  </si>
  <si>
    <t xml:space="preserve">Factores de Carrera Laboral </t>
  </si>
  <si>
    <t xml:space="preserve">o) Se cuenta con procedimientos y/o mejores prácticas para gestionar los planes de carrera de acuerdo con la productividad individual y colectiva </t>
  </si>
  <si>
    <t>Resiliencia y Gestión de Entornos</t>
  </si>
  <si>
    <t>a) Se cuentan con procedimientos o mejores prácticas para actuar ante entornos imprevistos, complejos, ambiguos, frágiles o acontecimientos que impliquen un cambio Organizacional disruptivo.</t>
  </si>
  <si>
    <t>b) Al encontrarse dentro de entornos imprevistos, complejos, ambiguos, frágiles o acontecimientos que impliquen un cambio Organizacional disruptivo, se cuentan con los procedimientos o mejores prácticas para determinar las mejoras y/o habilidades que necesitan los colaboradores para seguir realizando sus actividades de forma eficaz y eficiente.</t>
  </si>
  <si>
    <t>c) Al encontrarse dentro de entornos imprevistos, complejos, ambiguos, frágiles o acontecimientos que impliquen un cambio Organizacional disruptivo, se cuentan con procedimientos o mejores prácticas de contención de factores psicosociales y/ salud organizacional.</t>
  </si>
  <si>
    <t xml:space="preserve">d) Al encontrarse dentro de entornos imprevistos, complejos, ambiguos, frágiles o acontecimientos que impliquen un cambio Organizacional disruptivo, se realizan procedimientos o mejores prácticas para contener y/o fortalecer la Inteligencia Emocional de los colaboradores. </t>
  </si>
  <si>
    <t>Resultados de Recursos Humanos</t>
  </si>
  <si>
    <t>1).- Rendimiento de Capital: Utilidad Neta / Capital Contable</t>
  </si>
  <si>
    <t>2).- Margen de Utilidad: Utilidad Neta / Ventas</t>
  </si>
  <si>
    <t>3).- Utilidad antes de financiamientos e impuestos en números absolutos</t>
  </si>
  <si>
    <t>4).- Liquidez (Efectivo + cuentas por cobrar) / pasivos circulantes</t>
  </si>
  <si>
    <t>1).- Ventas en números absolutos en volumén o niveles económicos o segmentación de rentabilidad</t>
  </si>
  <si>
    <t>2).- Participación de mercado</t>
  </si>
  <si>
    <t>3).- Satisfacción de clientes</t>
  </si>
  <si>
    <t>4).- Clientes ganados / Clientes perdidos</t>
  </si>
  <si>
    <t>5).- Costo de Garantía</t>
  </si>
  <si>
    <t>1).- Ausentismo</t>
  </si>
  <si>
    <t>2).- Rotación</t>
  </si>
  <si>
    <t>3).- Número de accidentes: incidentes + incapacidades</t>
  </si>
  <si>
    <t>4).- Porcentaje de personal involucrado en proyectos de mejora</t>
  </si>
  <si>
    <t>5).- Programa de Desarrollo (Capacitación / Planes de Carrera)</t>
  </si>
  <si>
    <t>6).- Efectividad de los Programas de Desarrollo</t>
  </si>
  <si>
    <t>7).- Satisfacción del Personal</t>
  </si>
  <si>
    <t>8).- Gestión del Desempeño / Productividad</t>
  </si>
  <si>
    <t>9).- Sistema de Compensaciones / Reconocimientos</t>
  </si>
  <si>
    <t>10).- Relaciones Laborales</t>
  </si>
  <si>
    <t>11).- Resultados del Liderazgo</t>
  </si>
  <si>
    <t>1).- Inversión en diseño y desarrollo / ventas</t>
  </si>
  <si>
    <t>2).- Cumplimiento de presupuesto de lanzamiento de nuevos productos en porcentaje</t>
  </si>
  <si>
    <t>3).- Tiempo real de desarrollo de nuevos productos vs tiempo programado</t>
  </si>
  <si>
    <t>2).- Calidad del producto y/o servicio</t>
  </si>
  <si>
    <t>3).- Rotación de inventario: Costo de Ventas / Inventario</t>
  </si>
  <si>
    <t>4).- Días de Inventario: (Inventario / Costo de Ventas ) *365</t>
  </si>
  <si>
    <t>5).- Tiempo productivo de equipo (up time)</t>
  </si>
  <si>
    <t>6).- Indicador de desempeño de proveedores</t>
  </si>
  <si>
    <t>1).- Productividad: Productos o servicios realizados / Costos de la Producción - Operación</t>
  </si>
  <si>
    <t>7).- Indicadores de desempeño de procesos básicos (Centrales - Soporte - Insumos - Control)</t>
  </si>
  <si>
    <t>8).- Indicadores de desempeño del Sistema de Control de la Calidad</t>
  </si>
  <si>
    <t>Resultados de Impacto Ambiental</t>
  </si>
  <si>
    <t>1).- Indicadores en materia ecologica: indices de contaminación de agua, aire, ruido, entre otros</t>
  </si>
  <si>
    <t>Resultados de Factores Psicosociales</t>
  </si>
  <si>
    <t>1).- Indicadores en Factores Psicosociales y Entorno Organizacional Favorable</t>
  </si>
  <si>
    <t>Resultados de Resiliencia y Gestión de Entornos</t>
  </si>
  <si>
    <t>1).- Indicadores en Resiliencia y Gestión de Entornos</t>
  </si>
  <si>
    <t>Recursos Humanos</t>
  </si>
  <si>
    <t>Administración Estratégica de RRHH</t>
  </si>
  <si>
    <t>Desarrollo de Talento Humano</t>
  </si>
  <si>
    <t>Impacto Ambiental</t>
  </si>
  <si>
    <t>Factores Psicosociales</t>
  </si>
  <si>
    <t>Factores de Carrera Laboral</t>
  </si>
  <si>
    <t>1.- Resultados Financieros</t>
  </si>
  <si>
    <t>2.- Resultados de Clientes, Usuarios y Mercados</t>
  </si>
  <si>
    <t>3.- Resultados de Recursos Humanos</t>
  </si>
  <si>
    <t>4.- Resultados de Diseño y Desarrollo de Productos, Procesos y/o Servicios</t>
  </si>
  <si>
    <t>5.- Resultados de Procesos</t>
  </si>
  <si>
    <t>6.- Resultados de Impacto Ambiental</t>
  </si>
  <si>
    <t>7.- Resultados de Factores Psicosociales</t>
  </si>
  <si>
    <t>8.- Resultados de Resiliencia y Gestión de Entornos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</si>
</sst>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Calibri"/>
    </font>
    <font>
      <sz val="8"/>
      <color indexed="8"/>
      <name val="Calibri"/>
      <family val="2"/>
    </font>
    <font>
      <b/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0">
    <xf numFmtId="0" fontId="0" fillId="0" borderId="0" xfId="0"/>
    <xf numFmtId="49" fontId="2" fillId="2" borderId="10" xfId="0" applyNumberFormat="1" applyFont="1" applyFill="1" applyBorder="1" applyAlignment="1">
      <alignment horizontal="center" wrapText="1"/>
    </xf>
    <xf numFmtId="0" fontId="1" fillId="2" borderId="1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1" fillId="0" borderId="0" xfId="0" applyNumberFormat="1" applyFont="1"/>
    <xf numFmtId="0" fontId="1" fillId="2" borderId="4" xfId="0" applyFont="1" applyFill="1" applyBorder="1" applyAlignment="1">
      <alignment wrapText="1"/>
    </xf>
    <xf numFmtId="0" fontId="2" fillId="2" borderId="13" xfId="0" applyNumberFormat="1" applyFont="1" applyFill="1" applyBorder="1" applyAlignment="1">
      <alignment horizontal="center" vertical="center"/>
    </xf>
    <xf numFmtId="0" fontId="2" fillId="2" borderId="14" xfId="0" applyNumberFormat="1" applyFont="1" applyFill="1" applyBorder="1" applyAlignment="1">
      <alignment horizontal="center" vertical="center"/>
    </xf>
    <xf numFmtId="0" fontId="2" fillId="2" borderId="1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49" fontId="1" fillId="2" borderId="9" xfId="0" applyNumberFormat="1" applyFont="1" applyFill="1" applyBorder="1" applyAlignment="1">
      <alignment wrapText="1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49" fontId="1" fillId="2" borderId="31" xfId="0" applyNumberFormat="1" applyFont="1" applyFill="1" applyBorder="1" applyAlignment="1">
      <alignment wrapText="1"/>
    </xf>
    <xf numFmtId="0" fontId="1" fillId="2" borderId="35" xfId="0" applyFont="1" applyFill="1" applyBorder="1"/>
    <xf numFmtId="49" fontId="1" fillId="2" borderId="7" xfId="0" applyNumberFormat="1" applyFont="1" applyFill="1" applyBorder="1" applyAlignment="1">
      <alignment wrapText="1"/>
    </xf>
    <xf numFmtId="0" fontId="1" fillId="2" borderId="12" xfId="0" applyFont="1" applyFill="1" applyBorder="1"/>
    <xf numFmtId="0" fontId="1" fillId="2" borderId="25" xfId="0" applyFont="1" applyFill="1" applyBorder="1" applyAlignment="1">
      <alignment wrapText="1"/>
    </xf>
    <xf numFmtId="0" fontId="1" fillId="2" borderId="13" xfId="0" applyNumberFormat="1" applyFont="1" applyFill="1" applyBorder="1" applyAlignment="1">
      <alignment vertical="center"/>
    </xf>
    <xf numFmtId="0" fontId="1" fillId="2" borderId="14" xfId="0" applyNumberFormat="1" applyFont="1" applyFill="1" applyBorder="1" applyAlignment="1">
      <alignment vertical="center"/>
    </xf>
    <xf numFmtId="0" fontId="1" fillId="2" borderId="15" xfId="0" applyNumberFormat="1" applyFont="1" applyFill="1" applyBorder="1" applyAlignment="1">
      <alignment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/>
    <xf numFmtId="49" fontId="1" fillId="2" borderId="4" xfId="0" applyNumberFormat="1" applyFont="1" applyFill="1" applyBorder="1" applyAlignment="1">
      <alignment wrapText="1"/>
    </xf>
    <xf numFmtId="164" fontId="1" fillId="2" borderId="10" xfId="0" applyNumberFormat="1" applyFont="1" applyFill="1" applyBorder="1" applyAlignment="1">
      <alignment horizontal="center"/>
    </xf>
    <xf numFmtId="0" fontId="1" fillId="2" borderId="26" xfId="0" applyFont="1" applyFill="1" applyBorder="1" applyAlignment="1">
      <alignment wrapText="1"/>
    </xf>
    <xf numFmtId="164" fontId="2" fillId="2" borderId="10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vertical="center" wrapText="1"/>
    </xf>
    <xf numFmtId="164" fontId="1" fillId="2" borderId="11" xfId="0" applyNumberFormat="1" applyFont="1" applyFill="1" applyBorder="1" applyAlignment="1">
      <alignment horizontal="center"/>
    </xf>
    <xf numFmtId="49" fontId="1" fillId="2" borderId="36" xfId="0" applyNumberFormat="1" applyFont="1" applyFill="1" applyBorder="1" applyAlignment="1">
      <alignment wrapText="1"/>
    </xf>
    <xf numFmtId="0" fontId="1" fillId="2" borderId="40" xfId="0" applyFont="1" applyFill="1" applyBorder="1" applyAlignment="1">
      <alignment wrapText="1"/>
    </xf>
    <xf numFmtId="0" fontId="1" fillId="2" borderId="41" xfId="0" applyNumberFormat="1" applyFont="1" applyFill="1" applyBorder="1" applyAlignment="1">
      <alignment vertical="center"/>
    </xf>
    <xf numFmtId="16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/>
    <xf numFmtId="49" fontId="1" fillId="2" borderId="7" xfId="0" applyNumberFormat="1" applyFont="1" applyFill="1" applyBorder="1" applyAlignment="1">
      <alignment vertical="center" wrapText="1"/>
    </xf>
    <xf numFmtId="0" fontId="1" fillId="2" borderId="44" xfId="0" applyFont="1" applyFill="1" applyBorder="1" applyAlignment="1">
      <alignment wrapText="1"/>
    </xf>
    <xf numFmtId="164" fontId="2" fillId="2" borderId="45" xfId="0" applyNumberFormat="1" applyFont="1" applyFill="1" applyBorder="1" applyAlignment="1">
      <alignment horizontal="center"/>
    </xf>
    <xf numFmtId="0" fontId="1" fillId="2" borderId="49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1" fillId="2" borderId="54" xfId="0" applyNumberFormat="1" applyFont="1" applyFill="1" applyBorder="1" applyAlignment="1">
      <alignment wrapText="1"/>
    </xf>
    <xf numFmtId="0" fontId="1" fillId="2" borderId="55" xfId="0" applyFont="1" applyFill="1" applyBorder="1"/>
    <xf numFmtId="49" fontId="1" fillId="2" borderId="59" xfId="0" applyNumberFormat="1" applyFont="1" applyFill="1" applyBorder="1" applyAlignment="1">
      <alignment wrapText="1"/>
    </xf>
    <xf numFmtId="0" fontId="1" fillId="2" borderId="61" xfId="0" applyFont="1" applyFill="1" applyBorder="1"/>
    <xf numFmtId="0" fontId="2" fillId="2" borderId="46" xfId="0" applyNumberFormat="1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/>
    </xf>
    <xf numFmtId="0" fontId="2" fillId="2" borderId="48" xfId="0" applyNumberFormat="1" applyFont="1" applyFill="1" applyBorder="1" applyAlignment="1">
      <alignment horizontal="center" vertical="center"/>
    </xf>
    <xf numFmtId="49" fontId="1" fillId="2" borderId="54" xfId="0" applyNumberFormat="1" applyFont="1" applyFill="1" applyBorder="1" applyAlignment="1">
      <alignment vertical="center" wrapText="1"/>
    </xf>
    <xf numFmtId="49" fontId="1" fillId="2" borderId="60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/>
    <xf numFmtId="49" fontId="1" fillId="2" borderId="2" xfId="0" applyNumberFormat="1" applyFont="1" applyFill="1" applyBorder="1"/>
    <xf numFmtId="0" fontId="1" fillId="2" borderId="5" xfId="0" applyNumberFormat="1" applyFont="1" applyFill="1" applyBorder="1"/>
    <xf numFmtId="0" fontId="1" fillId="2" borderId="30" xfId="0" applyFont="1" applyFill="1" applyBorder="1" applyAlignment="1">
      <alignment wrapText="1"/>
    </xf>
    <xf numFmtId="0" fontId="1" fillId="2" borderId="70" xfId="0" applyNumberFormat="1" applyFont="1" applyFill="1" applyBorder="1" applyAlignment="1">
      <alignment vertical="center"/>
    </xf>
    <xf numFmtId="49" fontId="2" fillId="2" borderId="71" xfId="0" applyNumberFormat="1" applyFont="1" applyFill="1" applyBorder="1" applyAlignment="1">
      <alignment horizontal="center" wrapText="1"/>
    </xf>
    <xf numFmtId="0" fontId="1" fillId="2" borderId="72" xfId="0" applyFont="1" applyFill="1" applyBorder="1" applyAlignment="1">
      <alignment wrapText="1"/>
    </xf>
    <xf numFmtId="49" fontId="1" fillId="2" borderId="50" xfId="0" applyNumberFormat="1" applyFont="1" applyFill="1" applyBorder="1" applyAlignment="1">
      <alignment wrapText="1"/>
    </xf>
    <xf numFmtId="0" fontId="1" fillId="2" borderId="1" xfId="0" applyFont="1" applyFill="1" applyBorder="1"/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wrapText="1"/>
    </xf>
    <xf numFmtId="0" fontId="1" fillId="2" borderId="71" xfId="0" applyFont="1" applyFill="1" applyBorder="1" applyAlignment="1">
      <alignment wrapText="1"/>
    </xf>
    <xf numFmtId="49" fontId="1" fillId="2" borderId="74" xfId="0" applyNumberFormat="1" applyFont="1" applyFill="1" applyBorder="1" applyAlignment="1">
      <alignment wrapText="1"/>
    </xf>
    <xf numFmtId="49" fontId="1" fillId="2" borderId="75" xfId="0" applyNumberFormat="1" applyFont="1" applyFill="1" applyBorder="1" applyAlignment="1">
      <alignment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0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3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22" xfId="0" applyNumberFormat="1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8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46" xfId="0" applyNumberFormat="1" applyFont="1" applyFill="1" applyBorder="1" applyAlignment="1">
      <alignment horizontal="center" vertical="center"/>
    </xf>
    <xf numFmtId="0" fontId="1" fillId="2" borderId="47" xfId="0" applyNumberFormat="1" applyFont="1" applyFill="1" applyBorder="1" applyAlignment="1">
      <alignment horizontal="center" vertical="center"/>
    </xf>
    <xf numFmtId="0" fontId="1" fillId="2" borderId="48" xfId="0" applyNumberFormat="1" applyFont="1" applyFill="1" applyBorder="1" applyAlignment="1">
      <alignment horizontal="center" vertical="center"/>
    </xf>
    <xf numFmtId="0" fontId="1" fillId="2" borderId="51" xfId="0" applyNumberFormat="1" applyFont="1" applyFill="1" applyBorder="1" applyAlignment="1">
      <alignment horizontal="center" vertical="center"/>
    </xf>
    <xf numFmtId="0" fontId="1" fillId="2" borderId="52" xfId="0" applyNumberFormat="1" applyFont="1" applyFill="1" applyBorder="1" applyAlignment="1">
      <alignment horizontal="center" vertical="center"/>
    </xf>
    <xf numFmtId="0" fontId="1" fillId="2" borderId="53" xfId="0" applyNumberFormat="1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1" fillId="2" borderId="73" xfId="0" applyNumberFormat="1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3" xfId="0" applyNumberFormat="1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3" xfId="0" applyNumberFormat="1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68" xfId="0" applyNumberFormat="1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56" xfId="0" applyNumberFormat="1" applyFont="1" applyFill="1" applyBorder="1" applyAlignment="1">
      <alignment horizontal="center" vertical="center"/>
    </xf>
    <xf numFmtId="0" fontId="1" fillId="2" borderId="57" xfId="0" applyNumberFormat="1" applyFont="1" applyFill="1" applyBorder="1" applyAlignment="1">
      <alignment horizontal="center" vertical="center"/>
    </xf>
    <xf numFmtId="0" fontId="1" fillId="2" borderId="58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1" fillId="2" borderId="7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808080"/>
      <rgbColor rgb="FF66669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3.7036100000000002E-2"/>
          <c:y val="2.89576E-2"/>
          <c:w val="0.85375400000000001"/>
          <c:h val="0.37411499999999998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ln w="25400" cap="flat">
              <a:solidFill>
                <a:srgbClr val="666699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666699"/>
              </a:solidFill>
              <a:ln w="25400" cap="flat">
                <a:solidFill>
                  <a:srgbClr val="666699"/>
                </a:solidFill>
                <a:prstDash val="solid"/>
                <a:round/>
              </a:ln>
              <a:effectLst/>
            </c:spPr>
          </c:marker>
          <c:cat>
            <c:strRef>
              <c:f>Consolidado!$B$2:$B$30</c:f>
              <c:strCache>
                <c:ptCount val="29"/>
                <c:pt idx="0">
                  <c:v>Liderazgo</c:v>
                </c:pt>
                <c:pt idx="1">
                  <c:v>Cultura Organizacional</c:v>
                </c:pt>
                <c:pt idx="2">
                  <c:v>Proceso de Planeación Estratégica (corto, mediano y largo plazo)</c:v>
                </c:pt>
                <c:pt idx="3">
                  <c:v>Proceso de Planeación Táctica</c:v>
                </c:pt>
                <c:pt idx="4">
                  <c:v>Innovación de Productos, Procesos y Servicios</c:v>
                </c:pt>
                <c:pt idx="5">
                  <c:v>Inteligencia de Mercado</c:v>
                </c:pt>
                <c:pt idx="6">
                  <c:v>Compromiso y Satisfacción</c:v>
                </c:pt>
                <c:pt idx="7">
                  <c:v>Administración Estratégica de RRHH</c:v>
                </c:pt>
                <c:pt idx="8">
                  <c:v>Captación de Talento</c:v>
                </c:pt>
                <c:pt idx="9">
                  <c:v>Desarrollo de Talento Humano</c:v>
                </c:pt>
                <c:pt idx="10">
                  <c:v>Sistemas de Trabajo</c:v>
                </c:pt>
                <c:pt idx="11">
                  <c:v>Diseño y Desarrollo de Productos, Procesos y/o Servicios</c:v>
                </c:pt>
                <c:pt idx="12">
                  <c:v>Control de Procesos</c:v>
                </c:pt>
                <c:pt idx="13">
                  <c:v>Administración del Conocimiento</c:v>
                </c:pt>
                <c:pt idx="14">
                  <c:v>Selección y Desarrollo de Proveedores</c:v>
                </c:pt>
                <c:pt idx="15">
                  <c:v>Impacto Ambiental</c:v>
                </c:pt>
                <c:pt idx="16">
                  <c:v>Factores de Seguridad y Salud</c:v>
                </c:pt>
                <c:pt idx="17">
                  <c:v>Factores del Desempeño en el Puesto</c:v>
                </c:pt>
                <c:pt idx="18">
                  <c:v>Factores del Equilibrio Laboral / Familiar</c:v>
                </c:pt>
                <c:pt idx="19">
                  <c:v>Factores de Carrera Laboral</c:v>
                </c:pt>
                <c:pt idx="20">
                  <c:v>Resiliencia y Gestión de Entornos</c:v>
                </c:pt>
                <c:pt idx="21">
                  <c:v>Resultados Financieros</c:v>
                </c:pt>
                <c:pt idx="22">
                  <c:v>Resultados de Clientes, Usuarios y Mercados</c:v>
                </c:pt>
                <c:pt idx="23">
                  <c:v>Resultados de Recursos Humanos</c:v>
                </c:pt>
                <c:pt idx="24">
                  <c:v>Resultados de Diseño y Desarrollo de Productos, Procesos y/o Servicios</c:v>
                </c:pt>
                <c:pt idx="25">
                  <c:v>Resultados de Procesos</c:v>
                </c:pt>
                <c:pt idx="26">
                  <c:v>Resultados de Impacto Ambiental</c:v>
                </c:pt>
                <c:pt idx="27">
                  <c:v>Resultados de Factores Psicosociales</c:v>
                </c:pt>
                <c:pt idx="28">
                  <c:v>Resultados de Resiliencia y Gestión de Entornos</c:v>
                </c:pt>
              </c:strCache>
            </c:strRef>
          </c:cat>
          <c:val>
            <c:numRef>
              <c:f>Consolidado!$C$2:$C$30</c:f>
              <c:numCache>
                <c:formatCode>0.0</c:formatCode>
                <c:ptCount val="2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3.25</c:v>
                </c:pt>
                <c:pt idx="4">
                  <c:v>3</c:v>
                </c:pt>
                <c:pt idx="5">
                  <c:v>3.1428571428571428</c:v>
                </c:pt>
                <c:pt idx="6">
                  <c:v>3</c:v>
                </c:pt>
                <c:pt idx="7">
                  <c:v>3</c:v>
                </c:pt>
                <c:pt idx="8">
                  <c:v>3.6666666666666665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2.5714285714285716</c:v>
                </c:pt>
                <c:pt idx="13">
                  <c:v>2.4</c:v>
                </c:pt>
                <c:pt idx="14">
                  <c:v>2.5</c:v>
                </c:pt>
                <c:pt idx="15">
                  <c:v>1</c:v>
                </c:pt>
                <c:pt idx="16">
                  <c:v>4.375</c:v>
                </c:pt>
                <c:pt idx="17">
                  <c:v>2.4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1-4A55-8AFB-98F6A511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08080"/>
            </a:solidFill>
            <a:prstDash val="solid"/>
            <a:round/>
          </a:ln>
        </c:spPr>
        <c:txPr>
          <a:bodyPr rot="-270000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  <c:max val="6"/>
          <c:min val="0"/>
        </c:scaling>
        <c:delete val="0"/>
        <c:axPos val="l"/>
        <c:majorGridlines>
          <c:spPr>
            <a:ln w="12700" cap="flat">
              <a:solidFill>
                <a:srgbClr val="808080"/>
              </a:solidFill>
              <a:prstDash val="solid"/>
              <a:round/>
            </a:ln>
          </c:spPr>
        </c:majorGridlines>
        <c:numFmt formatCode="0.0" sourceLinked="1"/>
        <c:majorTickMark val="out"/>
        <c:minorTickMark val="none"/>
        <c:tickLblPos val="nextTo"/>
        <c:spPr>
          <a:ln w="12700" cap="flat">
            <a:solidFill>
              <a:srgbClr val="808080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094734552"/>
        <c:crosses val="autoZero"/>
        <c:crossBetween val="between"/>
        <c:majorUnit val="1"/>
        <c:minorUnit val="0.6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90920199999999995"/>
          <c:y val="0.37648599999999999"/>
          <c:w val="9.0798100000000007E-2"/>
          <c:h val="4.9065299999999999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20" b="0" i="0" u="none" strike="noStrike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808080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759152</xdr:colOff>
      <xdr:row>0</xdr:row>
      <xdr:rowOff>159756</xdr:rowOff>
    </xdr:from>
    <xdr:to>
      <xdr:col>14</xdr:col>
      <xdr:colOff>376484</xdr:colOff>
      <xdr:row>32</xdr:row>
      <xdr:rowOff>98360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295274</xdr:colOff>
      <xdr:row>5</xdr:row>
      <xdr:rowOff>210820</xdr:rowOff>
    </xdr:from>
    <xdr:to>
      <xdr:col>13</xdr:col>
      <xdr:colOff>123825</xdr:colOff>
      <xdr:row>5</xdr:row>
      <xdr:rowOff>220345</xdr:rowOff>
    </xdr:to>
    <xdr:sp macro="" textlink="">
      <xdr:nv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5562599" y="1182370"/>
          <a:ext cx="6686551" cy="9525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workbookViewId="0">
      <selection activeCell="C32" sqref="C32"/>
    </sheetView>
  </sheetViews>
  <sheetFormatPr baseColWidth="10" defaultColWidth="10.85546875" defaultRowHeight="12" customHeight="1" x14ac:dyDescent="0.2"/>
  <cols>
    <col min="1" max="1" width="26.42578125" style="5" customWidth="1"/>
    <col min="2" max="2" width="29.7109375" style="5" customWidth="1"/>
    <col min="3" max="14" width="11.42578125" style="5" customWidth="1"/>
    <col min="15" max="15" width="10.85546875" style="5" customWidth="1"/>
    <col min="16" max="16384" width="10.85546875" style="5"/>
  </cols>
  <sheetData>
    <row r="1" spans="1:14" ht="12.75" customHeight="1" thickBot="1" x14ac:dyDescent="0.25">
      <c r="A1" s="66"/>
      <c r="B1" s="66"/>
      <c r="C1" s="66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4.1" customHeight="1" x14ac:dyDescent="0.2">
      <c r="A2" s="126" t="s">
        <v>0</v>
      </c>
      <c r="B2" s="26" t="s">
        <v>1</v>
      </c>
      <c r="C2" s="121">
        <f>'Filosofía Organizacional'!H8</f>
        <v>4</v>
      </c>
      <c r="D2" s="10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thickBot="1" x14ac:dyDescent="0.25">
      <c r="A3" s="128"/>
      <c r="B3" s="16" t="s">
        <v>2</v>
      </c>
      <c r="C3" s="122">
        <f>'Filosofía Organizacional'!H15</f>
        <v>5</v>
      </c>
      <c r="D3" s="10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3.45" customHeight="1" x14ac:dyDescent="0.2">
      <c r="A4" s="126" t="s">
        <v>3</v>
      </c>
      <c r="B4" s="26" t="s">
        <v>4</v>
      </c>
      <c r="C4" s="121">
        <f>'Estrategias Organizacionales'!H12</f>
        <v>3</v>
      </c>
      <c r="D4" s="10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 x14ac:dyDescent="0.2">
      <c r="A5" s="127"/>
      <c r="B5" s="11" t="s">
        <v>51</v>
      </c>
      <c r="C5" s="123">
        <f>'Estrategias Organizacionales'!H23</f>
        <v>3.25</v>
      </c>
      <c r="D5" s="10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3.45" customHeight="1" thickBot="1" x14ac:dyDescent="0.25">
      <c r="A6" s="128"/>
      <c r="B6" s="16" t="s">
        <v>5</v>
      </c>
      <c r="C6" s="122">
        <f>'Estrategias Organizacionales'!H28</f>
        <v>3</v>
      </c>
      <c r="D6" s="10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4.1" customHeight="1" x14ac:dyDescent="0.2">
      <c r="A7" s="126" t="s">
        <v>6</v>
      </c>
      <c r="B7" s="26" t="s">
        <v>7</v>
      </c>
      <c r="C7" s="121">
        <f>'Enfoque a Cl Usua y Mdos'!H10</f>
        <v>3.1428571428571428</v>
      </c>
      <c r="D7" s="10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4.1" customHeight="1" thickBot="1" x14ac:dyDescent="0.25">
      <c r="A8" s="128"/>
      <c r="B8" s="16" t="s">
        <v>8</v>
      </c>
      <c r="C8" s="122">
        <f>'Enfoque a Cl Usua y Mdos'!H18</f>
        <v>3</v>
      </c>
      <c r="D8" s="10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4.1" customHeight="1" x14ac:dyDescent="0.2">
      <c r="A9" s="126" t="s">
        <v>174</v>
      </c>
      <c r="B9" s="26" t="s">
        <v>175</v>
      </c>
      <c r="C9" s="121">
        <f>'Recursos Humanos'!H5</f>
        <v>3</v>
      </c>
      <c r="D9" s="10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4.1" customHeight="1" x14ac:dyDescent="0.2">
      <c r="A10" s="129"/>
      <c r="B10" s="39" t="s">
        <v>9</v>
      </c>
      <c r="C10" s="124">
        <f>'Recursos Humanos'!H11</f>
        <v>3.6666666666666665</v>
      </c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3.5" customHeight="1" x14ac:dyDescent="0.2">
      <c r="A11" s="127"/>
      <c r="B11" s="11" t="s">
        <v>176</v>
      </c>
      <c r="C11" s="123">
        <f>'Recursos Humanos'!H18</f>
        <v>5</v>
      </c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4.1" customHeight="1" thickBot="1" x14ac:dyDescent="0.25">
      <c r="A12" s="128"/>
      <c r="B12" s="16" t="s">
        <v>10</v>
      </c>
      <c r="C12" s="122">
        <f>'Recursos Humanos'!H25</f>
        <v>5</v>
      </c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24" customHeight="1" thickBot="1" x14ac:dyDescent="0.25">
      <c r="A13" s="67" t="s">
        <v>11</v>
      </c>
      <c r="B13" s="68" t="s">
        <v>11</v>
      </c>
      <c r="C13" s="22">
        <f>'Dis y Des de Prod Proc Servs'!H8</f>
        <v>2</v>
      </c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4.1" customHeight="1" x14ac:dyDescent="0.2">
      <c r="A14" s="126" t="s">
        <v>12</v>
      </c>
      <c r="B14" s="26" t="s">
        <v>13</v>
      </c>
      <c r="C14" s="121">
        <f>Procesos!H10</f>
        <v>2.5714285714285716</v>
      </c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4.1" customHeight="1" thickBot="1" x14ac:dyDescent="0.25">
      <c r="A15" s="128"/>
      <c r="B15" s="16" t="s">
        <v>14</v>
      </c>
      <c r="C15" s="122">
        <f>Procesos!H18</f>
        <v>2.4</v>
      </c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4.65" customHeight="1" thickBot="1" x14ac:dyDescent="0.25">
      <c r="A16" s="67" t="s">
        <v>15</v>
      </c>
      <c r="B16" s="68" t="s">
        <v>16</v>
      </c>
      <c r="C16" s="22">
        <f>Proveedores!H7</f>
        <v>2.5</v>
      </c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4.65" customHeight="1" thickBot="1" x14ac:dyDescent="0.25">
      <c r="A17" s="67" t="s">
        <v>177</v>
      </c>
      <c r="B17" s="68" t="s">
        <v>177</v>
      </c>
      <c r="C17" s="22">
        <f>'Impacto Ambiental'!H5</f>
        <v>1</v>
      </c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4.1" customHeight="1" x14ac:dyDescent="0.2">
      <c r="A18" s="126" t="s">
        <v>178</v>
      </c>
      <c r="B18" s="26" t="s">
        <v>111</v>
      </c>
      <c r="C18" s="121">
        <f>'Factores Psicosociales'!H11</f>
        <v>4.375</v>
      </c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4.1" customHeight="1" x14ac:dyDescent="0.2">
      <c r="A19" s="129"/>
      <c r="B19" s="39" t="s">
        <v>126</v>
      </c>
      <c r="C19" s="124">
        <f>'Factores Psicosociales'!H19</f>
        <v>2.4</v>
      </c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3.5" customHeight="1" x14ac:dyDescent="0.2">
      <c r="A20" s="127"/>
      <c r="B20" s="11" t="s">
        <v>125</v>
      </c>
      <c r="C20" s="123">
        <f>'Factores Psicosociales'!H24</f>
        <v>4</v>
      </c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4.1" customHeight="1" thickBot="1" x14ac:dyDescent="0.25">
      <c r="A21" s="128"/>
      <c r="B21" s="16" t="s">
        <v>179</v>
      </c>
      <c r="C21" s="122">
        <f>'Factores Psicosociales'!H28</f>
        <v>3</v>
      </c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4.65" customHeight="1" thickBot="1" x14ac:dyDescent="0.25">
      <c r="A22" s="67" t="s">
        <v>131</v>
      </c>
      <c r="B22" s="68" t="s">
        <v>131</v>
      </c>
      <c r="C22" s="22">
        <f>'Resiliencia y Gestión Entornos'!H7</f>
        <v>1</v>
      </c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4.1" customHeight="1" x14ac:dyDescent="0.2">
      <c r="A23" s="126" t="s">
        <v>17</v>
      </c>
      <c r="B23" s="26" t="s">
        <v>18</v>
      </c>
      <c r="C23" s="121">
        <f>Resultados!H7</f>
        <v>1</v>
      </c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23.1" customHeight="1" x14ac:dyDescent="0.2">
      <c r="A24" s="127"/>
      <c r="B24" s="11" t="s">
        <v>19</v>
      </c>
      <c r="C24" s="123">
        <f>Resultados!H15</f>
        <v>1</v>
      </c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3.5" customHeight="1" x14ac:dyDescent="0.2">
      <c r="A25" s="127"/>
      <c r="B25" s="11" t="s">
        <v>136</v>
      </c>
      <c r="C25" s="123">
        <f>Resultados!H29</f>
        <v>1</v>
      </c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24.75" customHeight="1" x14ac:dyDescent="0.2">
      <c r="A26" s="127"/>
      <c r="B26" s="11" t="s">
        <v>20</v>
      </c>
      <c r="C26" s="123">
        <f>Resultados!H35</f>
        <v>1</v>
      </c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3.5" customHeight="1" x14ac:dyDescent="0.2">
      <c r="A27" s="127"/>
      <c r="B27" s="11" t="s">
        <v>21</v>
      </c>
      <c r="C27" s="123">
        <f>Resultados!H46</f>
        <v>1</v>
      </c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1.25" x14ac:dyDescent="0.2">
      <c r="A28" s="127"/>
      <c r="B28" s="37" t="s">
        <v>168</v>
      </c>
      <c r="C28" s="123">
        <f>Resultados!H50</f>
        <v>1</v>
      </c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3.5" customHeight="1" x14ac:dyDescent="0.2">
      <c r="A29" s="127"/>
      <c r="B29" s="11" t="s">
        <v>170</v>
      </c>
      <c r="C29" s="123">
        <f>Resultados!H54</f>
        <v>1</v>
      </c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25.5" customHeight="1" thickBot="1" x14ac:dyDescent="0.25">
      <c r="A30" s="128"/>
      <c r="B30" s="16" t="s">
        <v>172</v>
      </c>
      <c r="C30" s="122">
        <f>Resultados!H58</f>
        <v>1</v>
      </c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2" customHeight="1" x14ac:dyDescent="0.2">
      <c r="A31" s="25"/>
      <c r="B31" s="25"/>
      <c r="C31" s="2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2" customHeight="1" x14ac:dyDescent="0.2">
      <c r="A32" s="4"/>
      <c r="B32" s="4"/>
      <c r="C32" s="125">
        <f>AVERAGE(C2:C30)</f>
        <v>2.5622742200328408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</sheetData>
  <mergeCells count="7">
    <mergeCell ref="A23:A30"/>
    <mergeCell ref="A2:A3"/>
    <mergeCell ref="A4:A6"/>
    <mergeCell ref="A7:A8"/>
    <mergeCell ref="A9:A12"/>
    <mergeCell ref="A14:A15"/>
    <mergeCell ref="A18:A21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showGridLines="0" topLeftCell="A6" workbookViewId="0">
      <selection activeCell="F21" sqref="F21"/>
    </sheetView>
  </sheetViews>
  <sheetFormatPr baseColWidth="10" defaultColWidth="10.85546875" defaultRowHeight="12" customHeight="1" x14ac:dyDescent="0.2"/>
  <cols>
    <col min="1" max="1" width="72.710937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1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2.5" x14ac:dyDescent="0.2">
      <c r="A3" s="11" t="s">
        <v>33</v>
      </c>
      <c r="B3" s="72"/>
      <c r="C3" s="73"/>
      <c r="D3" s="73"/>
      <c r="E3" s="74">
        <v>4</v>
      </c>
      <c r="F3" s="73"/>
      <c r="G3" s="75"/>
      <c r="H3" s="10"/>
      <c r="I3" s="4"/>
      <c r="J3" s="4"/>
      <c r="K3" s="4"/>
      <c r="L3" s="4"/>
    </row>
    <row r="4" spans="1:12" ht="11.25" x14ac:dyDescent="0.2">
      <c r="A4" s="11" t="s">
        <v>34</v>
      </c>
      <c r="B4" s="76"/>
      <c r="C4" s="77"/>
      <c r="D4" s="77"/>
      <c r="E4" s="78">
        <v>4</v>
      </c>
      <c r="F4" s="77"/>
      <c r="G4" s="79"/>
      <c r="H4" s="10"/>
      <c r="I4" s="4"/>
      <c r="J4" s="4"/>
      <c r="K4" s="4"/>
      <c r="L4" s="4"/>
    </row>
    <row r="5" spans="1:12" ht="22.5" x14ac:dyDescent="0.2">
      <c r="A5" s="14" t="s">
        <v>35</v>
      </c>
      <c r="B5" s="80"/>
      <c r="C5" s="81"/>
      <c r="D5" s="81"/>
      <c r="E5" s="82">
        <v>4</v>
      </c>
      <c r="F5" s="81"/>
      <c r="G5" s="83"/>
      <c r="H5" s="15"/>
      <c r="I5" s="4"/>
      <c r="J5" s="4"/>
      <c r="K5" s="4"/>
      <c r="L5" s="4"/>
    </row>
    <row r="6" spans="1:12" ht="22.5" x14ac:dyDescent="0.2">
      <c r="A6" s="14" t="s">
        <v>36</v>
      </c>
      <c r="B6" s="80"/>
      <c r="C6" s="81"/>
      <c r="D6" s="81"/>
      <c r="E6" s="82">
        <v>4</v>
      </c>
      <c r="F6" s="81"/>
      <c r="G6" s="83"/>
      <c r="H6" s="15"/>
      <c r="I6" s="4"/>
      <c r="J6" s="4"/>
      <c r="K6" s="4"/>
      <c r="L6" s="4"/>
    </row>
    <row r="7" spans="1:12" ht="23.45" customHeight="1" thickBot="1" x14ac:dyDescent="0.25">
      <c r="A7" s="16" t="s">
        <v>37</v>
      </c>
      <c r="B7" s="84"/>
      <c r="C7" s="85"/>
      <c r="D7" s="85"/>
      <c r="E7" s="85">
        <v>4</v>
      </c>
      <c r="F7" s="86"/>
      <c r="G7" s="87"/>
      <c r="H7" s="17"/>
      <c r="I7" s="4"/>
      <c r="J7" s="4"/>
      <c r="K7" s="4"/>
      <c r="L7" s="4"/>
    </row>
    <row r="8" spans="1:12" ht="14.65" customHeight="1" thickBot="1" x14ac:dyDescent="0.25">
      <c r="A8" s="18"/>
      <c r="B8" s="88">
        <f t="shared" ref="B8:G8" si="0">SUM(B3:B7)</f>
        <v>0</v>
      </c>
      <c r="C8" s="89">
        <f t="shared" si="0"/>
        <v>0</v>
      </c>
      <c r="D8" s="89">
        <f t="shared" si="0"/>
        <v>0</v>
      </c>
      <c r="E8" s="89">
        <f t="shared" si="0"/>
        <v>20</v>
      </c>
      <c r="F8" s="89">
        <f t="shared" si="0"/>
        <v>0</v>
      </c>
      <c r="G8" s="90">
        <f t="shared" si="0"/>
        <v>0</v>
      </c>
      <c r="H8" s="22">
        <f>SUM(B8:G8)/5</f>
        <v>4</v>
      </c>
      <c r="I8" s="10"/>
      <c r="J8" s="4"/>
      <c r="K8" s="4"/>
      <c r="L8" s="4"/>
    </row>
    <row r="9" spans="1:12" ht="14.65" customHeight="1" x14ac:dyDescent="0.2">
      <c r="A9" s="23"/>
      <c r="B9" s="24"/>
      <c r="C9" s="24"/>
      <c r="D9" s="24"/>
      <c r="E9" s="24"/>
      <c r="F9" s="24"/>
      <c r="G9" s="24"/>
      <c r="H9" s="25"/>
      <c r="I9" s="4"/>
      <c r="J9" s="4"/>
      <c r="K9" s="4"/>
      <c r="L9" s="4"/>
    </row>
    <row r="10" spans="1:12" ht="14.65" customHeight="1" thickBot="1" x14ac:dyDescent="0.25">
      <c r="A10" s="1" t="s">
        <v>2</v>
      </c>
      <c r="B10" s="2"/>
      <c r="C10" s="3"/>
      <c r="D10" s="3"/>
      <c r="E10" s="3"/>
      <c r="F10" s="3"/>
      <c r="G10" s="3"/>
      <c r="H10" s="4"/>
      <c r="I10" s="4"/>
      <c r="J10" s="4"/>
      <c r="K10" s="4"/>
      <c r="L10" s="4"/>
    </row>
    <row r="11" spans="1:12" ht="14.1" customHeight="1" x14ac:dyDescent="0.2">
      <c r="A11" s="26" t="s">
        <v>38</v>
      </c>
      <c r="B11" s="72"/>
      <c r="C11" s="73"/>
      <c r="D11" s="74"/>
      <c r="E11" s="73"/>
      <c r="F11" s="73"/>
      <c r="G11" s="75">
        <v>6</v>
      </c>
      <c r="H11" s="10"/>
      <c r="I11" s="4"/>
      <c r="J11" s="4"/>
      <c r="K11" s="4"/>
      <c r="L11" s="4"/>
    </row>
    <row r="12" spans="1:12" ht="23.1" customHeight="1" x14ac:dyDescent="0.2">
      <c r="A12" s="11" t="s">
        <v>39</v>
      </c>
      <c r="B12" s="76"/>
      <c r="C12" s="77"/>
      <c r="D12" s="78"/>
      <c r="E12" s="77"/>
      <c r="F12" s="77">
        <v>5</v>
      </c>
      <c r="G12" s="79"/>
      <c r="H12" s="10"/>
      <c r="I12" s="4"/>
      <c r="J12" s="4"/>
      <c r="K12" s="4"/>
      <c r="L12" s="4"/>
    </row>
    <row r="13" spans="1:12" ht="23.1" customHeight="1" x14ac:dyDescent="0.2">
      <c r="A13" s="11" t="s">
        <v>40</v>
      </c>
      <c r="B13" s="76"/>
      <c r="C13" s="78"/>
      <c r="D13" s="77"/>
      <c r="E13" s="77">
        <v>4</v>
      </c>
      <c r="F13" s="77"/>
      <c r="G13" s="79"/>
      <c r="H13" s="10"/>
      <c r="I13" s="4"/>
      <c r="J13" s="4"/>
      <c r="K13" s="4"/>
      <c r="L13" s="4"/>
    </row>
    <row r="14" spans="1:12" ht="23.45" customHeight="1" thickBot="1" x14ac:dyDescent="0.25">
      <c r="A14" s="16" t="s">
        <v>41</v>
      </c>
      <c r="B14" s="84"/>
      <c r="C14" s="85"/>
      <c r="D14" s="85"/>
      <c r="E14" s="85"/>
      <c r="F14" s="86">
        <v>5</v>
      </c>
      <c r="G14" s="87"/>
      <c r="H14" s="17"/>
      <c r="I14" s="4"/>
      <c r="J14" s="4"/>
      <c r="K14" s="4"/>
      <c r="L14" s="4"/>
    </row>
    <row r="15" spans="1:12" ht="14.65" customHeight="1" thickBot="1" x14ac:dyDescent="0.25">
      <c r="A15" s="18"/>
      <c r="B15" s="88">
        <f t="shared" ref="B15:G15" si="1">SUM(B11:B14)</f>
        <v>0</v>
      </c>
      <c r="C15" s="89">
        <f t="shared" si="1"/>
        <v>0</v>
      </c>
      <c r="D15" s="89">
        <f t="shared" si="1"/>
        <v>0</v>
      </c>
      <c r="E15" s="89">
        <f t="shared" si="1"/>
        <v>4</v>
      </c>
      <c r="F15" s="89">
        <f t="shared" si="1"/>
        <v>10</v>
      </c>
      <c r="G15" s="90">
        <f t="shared" si="1"/>
        <v>6</v>
      </c>
      <c r="H15" s="27">
        <f>SUM(B15:G15)/4</f>
        <v>5</v>
      </c>
      <c r="I15" s="10"/>
      <c r="J15" s="4"/>
      <c r="K15" s="4"/>
      <c r="L15" s="4"/>
    </row>
    <row r="16" spans="1:12" ht="14.65" customHeight="1" x14ac:dyDescent="0.2">
      <c r="A16" s="28"/>
      <c r="B16" s="88">
        <f t="shared" ref="B16:G16" si="2">B8+B15</f>
        <v>0</v>
      </c>
      <c r="C16" s="89">
        <f t="shared" si="2"/>
        <v>0</v>
      </c>
      <c r="D16" s="89">
        <f t="shared" si="2"/>
        <v>0</v>
      </c>
      <c r="E16" s="89">
        <f t="shared" si="2"/>
        <v>24</v>
      </c>
      <c r="F16" s="89">
        <f t="shared" si="2"/>
        <v>10</v>
      </c>
      <c r="G16" s="90">
        <f t="shared" si="2"/>
        <v>6</v>
      </c>
      <c r="H16" s="29">
        <f>SUM(B16:G16)/9</f>
        <v>4.4444444444444446</v>
      </c>
      <c r="I16" s="10"/>
      <c r="J16" s="4"/>
      <c r="K16" s="4"/>
      <c r="L16" s="4"/>
    </row>
    <row r="17" spans="1:12" ht="14.1" customHeight="1" x14ac:dyDescent="0.2">
      <c r="A17" s="30"/>
      <c r="B17" s="24"/>
      <c r="C17" s="24"/>
      <c r="D17" s="24"/>
      <c r="E17" s="24"/>
      <c r="F17" s="24"/>
      <c r="G17" s="24"/>
      <c r="H17" s="31"/>
      <c r="I17" s="32"/>
      <c r="J17" s="32"/>
      <c r="K17" s="32"/>
      <c r="L17" s="32"/>
    </row>
    <row r="18" spans="1:12" ht="33.75" customHeight="1" x14ac:dyDescent="0.2">
      <c r="A18" s="30"/>
      <c r="B18" s="33"/>
      <c r="C18" s="33"/>
      <c r="D18" s="33"/>
      <c r="E18" s="33"/>
      <c r="F18" s="33"/>
      <c r="G18" s="34"/>
      <c r="H18" s="35" t="s">
        <v>22</v>
      </c>
      <c r="I18" s="35" t="s">
        <v>23</v>
      </c>
      <c r="J18" s="35" t="s">
        <v>24</v>
      </c>
      <c r="K18" s="35" t="s">
        <v>25</v>
      </c>
      <c r="L18" s="35" t="s">
        <v>26</v>
      </c>
    </row>
    <row r="19" spans="1:12" ht="10.5" customHeight="1" x14ac:dyDescent="0.2">
      <c r="A19" s="30"/>
      <c r="B19" s="33"/>
      <c r="C19" s="33"/>
      <c r="D19" s="33"/>
      <c r="E19" s="33"/>
      <c r="F19" s="33"/>
      <c r="G19" s="34"/>
      <c r="H19" s="36"/>
      <c r="I19" s="36"/>
      <c r="J19" s="36"/>
      <c r="K19" s="36"/>
      <c r="L19" s="3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showGridLines="0" workbookViewId="0">
      <selection activeCell="D6" sqref="D6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4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33.75" x14ac:dyDescent="0.2">
      <c r="A3" s="11" t="s">
        <v>42</v>
      </c>
      <c r="B3" s="72"/>
      <c r="C3" s="73"/>
      <c r="D3" s="73">
        <v>3</v>
      </c>
      <c r="E3" s="74"/>
      <c r="F3" s="73"/>
      <c r="G3" s="75"/>
      <c r="H3" s="10"/>
      <c r="I3" s="4"/>
      <c r="J3" s="4"/>
      <c r="K3" s="4"/>
      <c r="L3" s="4"/>
    </row>
    <row r="4" spans="1:12" ht="22.5" x14ac:dyDescent="0.2">
      <c r="A4" s="11" t="s">
        <v>43</v>
      </c>
      <c r="B4" s="76"/>
      <c r="C4" s="77"/>
      <c r="D4" s="78">
        <v>3</v>
      </c>
      <c r="E4" s="77"/>
      <c r="F4" s="77"/>
      <c r="G4" s="79"/>
      <c r="H4" s="10"/>
      <c r="I4" s="4"/>
      <c r="J4" s="4"/>
      <c r="K4" s="4"/>
      <c r="L4" s="4"/>
    </row>
    <row r="5" spans="1:12" ht="45" customHeight="1" x14ac:dyDescent="0.2">
      <c r="A5" s="11" t="s">
        <v>44</v>
      </c>
      <c r="B5" s="76"/>
      <c r="C5" s="77"/>
      <c r="D5" s="78">
        <v>3</v>
      </c>
      <c r="E5" s="77"/>
      <c r="F5" s="77"/>
      <c r="G5" s="79"/>
      <c r="H5" s="10"/>
      <c r="I5" s="4"/>
      <c r="J5" s="4"/>
      <c r="K5" s="4"/>
      <c r="L5" s="4"/>
    </row>
    <row r="6" spans="1:12" ht="33.950000000000003" customHeight="1" x14ac:dyDescent="0.2">
      <c r="A6" s="11" t="s">
        <v>45</v>
      </c>
      <c r="B6" s="76"/>
      <c r="C6" s="77"/>
      <c r="D6" s="77">
        <v>3</v>
      </c>
      <c r="E6" s="78"/>
      <c r="F6" s="77"/>
      <c r="G6" s="79"/>
      <c r="H6" s="10"/>
      <c r="I6" s="4"/>
      <c r="J6" s="4"/>
      <c r="K6" s="4"/>
      <c r="L6" s="4"/>
    </row>
    <row r="7" spans="1:12" ht="31.5" customHeight="1" x14ac:dyDescent="0.2">
      <c r="A7" s="37" t="s">
        <v>46</v>
      </c>
      <c r="B7" s="76"/>
      <c r="C7" s="77"/>
      <c r="D7" s="77">
        <v>3</v>
      </c>
      <c r="E7" s="78"/>
      <c r="F7" s="77"/>
      <c r="G7" s="79"/>
      <c r="H7" s="10"/>
      <c r="I7" s="4"/>
      <c r="J7" s="4"/>
      <c r="K7" s="4"/>
      <c r="L7" s="4"/>
    </row>
    <row r="8" spans="1:12" ht="23.1" customHeight="1" x14ac:dyDescent="0.2">
      <c r="A8" s="11" t="s">
        <v>47</v>
      </c>
      <c r="B8" s="76"/>
      <c r="C8" s="77"/>
      <c r="D8" s="77">
        <v>3</v>
      </c>
      <c r="E8" s="78"/>
      <c r="F8" s="77"/>
      <c r="G8" s="79"/>
      <c r="H8" s="10"/>
      <c r="I8" s="4"/>
      <c r="J8" s="4"/>
      <c r="K8" s="4"/>
      <c r="L8" s="4"/>
    </row>
    <row r="9" spans="1:12" ht="22.5" x14ac:dyDescent="0.2">
      <c r="A9" s="11" t="s">
        <v>48</v>
      </c>
      <c r="B9" s="91"/>
      <c r="C9" s="77"/>
      <c r="D9" s="77">
        <v>3</v>
      </c>
      <c r="E9" s="77"/>
      <c r="F9" s="77"/>
      <c r="G9" s="79"/>
      <c r="H9" s="10"/>
      <c r="I9" s="4"/>
      <c r="J9" s="4"/>
      <c r="K9" s="4"/>
      <c r="L9" s="4"/>
    </row>
    <row r="10" spans="1:12" ht="22.5" customHeight="1" x14ac:dyDescent="0.2">
      <c r="A10" s="37" t="s">
        <v>49</v>
      </c>
      <c r="B10" s="76"/>
      <c r="C10" s="77"/>
      <c r="D10" s="78">
        <v>3</v>
      </c>
      <c r="E10" s="77"/>
      <c r="F10" s="77"/>
      <c r="G10" s="79"/>
      <c r="H10" s="10"/>
      <c r="I10" s="4"/>
      <c r="J10" s="4"/>
      <c r="K10" s="4"/>
      <c r="L10" s="4"/>
    </row>
    <row r="11" spans="1:12" ht="23.25" thickBot="1" x14ac:dyDescent="0.25">
      <c r="A11" s="16" t="s">
        <v>50</v>
      </c>
      <c r="B11" s="92"/>
      <c r="C11" s="85"/>
      <c r="D11" s="85">
        <v>3</v>
      </c>
      <c r="E11" s="85"/>
      <c r="F11" s="85"/>
      <c r="G11" s="87"/>
      <c r="H11" s="17"/>
      <c r="I11" s="4"/>
      <c r="J11" s="4"/>
      <c r="K11" s="4"/>
      <c r="L11" s="4"/>
    </row>
    <row r="12" spans="1:12" ht="14.65" customHeight="1" thickBot="1" x14ac:dyDescent="0.25">
      <c r="A12" s="18"/>
      <c r="B12" s="88">
        <f t="shared" ref="B12:G12" si="0">SUM(B3:B11)</f>
        <v>0</v>
      </c>
      <c r="C12" s="89">
        <f t="shared" si="0"/>
        <v>0</v>
      </c>
      <c r="D12" s="89">
        <f t="shared" si="0"/>
        <v>27</v>
      </c>
      <c r="E12" s="89">
        <f t="shared" si="0"/>
        <v>0</v>
      </c>
      <c r="F12" s="89">
        <f t="shared" si="0"/>
        <v>0</v>
      </c>
      <c r="G12" s="90">
        <f t="shared" si="0"/>
        <v>0</v>
      </c>
      <c r="H12" s="22">
        <f>SUM(B12:G12)/9</f>
        <v>3</v>
      </c>
      <c r="I12" s="10"/>
      <c r="J12" s="4"/>
      <c r="K12" s="4"/>
      <c r="L12" s="4"/>
    </row>
    <row r="13" spans="1:12" ht="14.65" customHeight="1" x14ac:dyDescent="0.2">
      <c r="A13" s="23"/>
      <c r="B13" s="24"/>
      <c r="C13" s="24"/>
      <c r="D13" s="24"/>
      <c r="E13" s="24"/>
      <c r="F13" s="24"/>
      <c r="G13" s="24"/>
      <c r="H13" s="25"/>
      <c r="I13" s="4"/>
      <c r="J13" s="4"/>
      <c r="K13" s="4"/>
      <c r="L13" s="4"/>
    </row>
    <row r="14" spans="1:12" ht="14.65" customHeight="1" thickBot="1" x14ac:dyDescent="0.25">
      <c r="A14" s="1" t="s">
        <v>51</v>
      </c>
      <c r="B14" s="2"/>
      <c r="C14" s="3"/>
      <c r="D14" s="3"/>
      <c r="E14" s="3"/>
      <c r="F14" s="3"/>
      <c r="G14" s="3"/>
      <c r="H14" s="4"/>
      <c r="I14" s="4"/>
      <c r="J14" s="4"/>
      <c r="K14" s="4"/>
      <c r="L14" s="4"/>
    </row>
    <row r="15" spans="1:12" ht="33" customHeight="1" x14ac:dyDescent="0.2">
      <c r="A15" s="26" t="s">
        <v>52</v>
      </c>
      <c r="B15" s="72"/>
      <c r="C15" s="73"/>
      <c r="D15" s="73">
        <v>3</v>
      </c>
      <c r="E15" s="74"/>
      <c r="F15" s="73"/>
      <c r="G15" s="75"/>
      <c r="H15" s="10"/>
      <c r="I15" s="4"/>
      <c r="J15" s="4"/>
      <c r="K15" s="4"/>
      <c r="L15" s="4"/>
    </row>
    <row r="16" spans="1:12" ht="34.5" customHeight="1" x14ac:dyDescent="0.2">
      <c r="A16" s="39" t="s">
        <v>53</v>
      </c>
      <c r="B16" s="93"/>
      <c r="C16" s="94"/>
      <c r="D16" s="94">
        <v>3</v>
      </c>
      <c r="E16" s="95"/>
      <c r="F16" s="94"/>
      <c r="G16" s="96"/>
      <c r="H16" s="10"/>
      <c r="I16" s="4"/>
      <c r="J16" s="4"/>
      <c r="K16" s="4"/>
      <c r="L16" s="4"/>
    </row>
    <row r="17" spans="1:12" ht="23.45" customHeight="1" x14ac:dyDescent="0.2">
      <c r="A17" s="39" t="s">
        <v>54</v>
      </c>
      <c r="B17" s="93"/>
      <c r="C17" s="94"/>
      <c r="D17" s="94"/>
      <c r="E17" s="95">
        <v>4</v>
      </c>
      <c r="F17" s="94"/>
      <c r="G17" s="96"/>
      <c r="H17" s="10"/>
      <c r="I17" s="4"/>
      <c r="J17" s="4"/>
      <c r="K17" s="4"/>
      <c r="L17" s="4"/>
    </row>
    <row r="18" spans="1:12" ht="23.45" customHeight="1" x14ac:dyDescent="0.2">
      <c r="A18" s="39" t="s">
        <v>55</v>
      </c>
      <c r="B18" s="93"/>
      <c r="C18" s="94"/>
      <c r="D18" s="94"/>
      <c r="E18" s="95">
        <v>4</v>
      </c>
      <c r="F18" s="94"/>
      <c r="G18" s="96"/>
      <c r="H18" s="10"/>
      <c r="I18" s="4"/>
      <c r="J18" s="4"/>
      <c r="K18" s="4"/>
      <c r="L18" s="4"/>
    </row>
    <row r="19" spans="1:12" ht="23.45" customHeight="1" x14ac:dyDescent="0.2">
      <c r="A19" s="39" t="s">
        <v>56</v>
      </c>
      <c r="B19" s="93"/>
      <c r="C19" s="94"/>
      <c r="D19" s="94">
        <v>3</v>
      </c>
      <c r="E19" s="95"/>
      <c r="F19" s="94"/>
      <c r="G19" s="96"/>
      <c r="H19" s="10"/>
      <c r="I19" s="4"/>
      <c r="J19" s="4"/>
      <c r="K19" s="4"/>
      <c r="L19" s="4"/>
    </row>
    <row r="20" spans="1:12" ht="23.1" customHeight="1" x14ac:dyDescent="0.2">
      <c r="A20" s="11" t="s">
        <v>57</v>
      </c>
      <c r="B20" s="76"/>
      <c r="C20" s="77"/>
      <c r="D20" s="77">
        <v>3</v>
      </c>
      <c r="E20" s="77"/>
      <c r="F20" s="78"/>
      <c r="G20" s="79"/>
      <c r="H20" s="10"/>
      <c r="I20" s="4"/>
      <c r="J20" s="4"/>
      <c r="K20" s="4"/>
      <c r="L20" s="4"/>
    </row>
    <row r="21" spans="1:12" ht="23.1" customHeight="1" x14ac:dyDescent="0.2">
      <c r="A21" s="11" t="s">
        <v>58</v>
      </c>
      <c r="B21" s="76"/>
      <c r="C21" s="77"/>
      <c r="D21" s="77">
        <v>3</v>
      </c>
      <c r="E21" s="78"/>
      <c r="F21" s="77"/>
      <c r="G21" s="79"/>
      <c r="H21" s="10"/>
      <c r="I21" s="4"/>
      <c r="J21" s="4"/>
      <c r="K21" s="4"/>
      <c r="L21" s="4"/>
    </row>
    <row r="22" spans="1:12" ht="23.45" customHeight="1" thickBot="1" x14ac:dyDescent="0.25">
      <c r="A22" s="16" t="s">
        <v>59</v>
      </c>
      <c r="B22" s="92"/>
      <c r="C22" s="85"/>
      <c r="D22" s="85">
        <v>3</v>
      </c>
      <c r="E22" s="85"/>
      <c r="F22" s="85"/>
      <c r="G22" s="87"/>
      <c r="H22" s="17"/>
      <c r="I22" s="4"/>
      <c r="J22" s="4"/>
      <c r="K22" s="4"/>
      <c r="L22" s="4"/>
    </row>
    <row r="23" spans="1:12" ht="14.65" customHeight="1" thickBot="1" x14ac:dyDescent="0.25">
      <c r="A23" s="18"/>
      <c r="B23" s="88">
        <f t="shared" ref="B23:G23" si="1">SUM(B15:B22)</f>
        <v>0</v>
      </c>
      <c r="C23" s="89">
        <f t="shared" si="1"/>
        <v>0</v>
      </c>
      <c r="D23" s="89">
        <f t="shared" si="1"/>
        <v>18</v>
      </c>
      <c r="E23" s="89">
        <f t="shared" si="1"/>
        <v>8</v>
      </c>
      <c r="F23" s="89">
        <f t="shared" si="1"/>
        <v>0</v>
      </c>
      <c r="G23" s="90">
        <f t="shared" si="1"/>
        <v>0</v>
      </c>
      <c r="H23" s="27">
        <f>SUM(B23:G23)/8</f>
        <v>3.25</v>
      </c>
      <c r="I23" s="10"/>
      <c r="J23" s="4"/>
      <c r="K23" s="4"/>
      <c r="L23" s="4"/>
    </row>
    <row r="24" spans="1:12" ht="14.65" customHeight="1" x14ac:dyDescent="0.2">
      <c r="A24" s="23"/>
      <c r="B24" s="24"/>
      <c r="C24" s="24"/>
      <c r="D24" s="24"/>
      <c r="E24" s="24"/>
      <c r="F24" s="24"/>
      <c r="G24" s="24"/>
      <c r="H24" s="38"/>
      <c r="I24" s="4"/>
      <c r="J24" s="4"/>
      <c r="K24" s="4"/>
      <c r="L24" s="4"/>
    </row>
    <row r="25" spans="1:12" ht="14.65" customHeight="1" thickBot="1" x14ac:dyDescent="0.25">
      <c r="A25" s="1" t="s">
        <v>5</v>
      </c>
      <c r="B25" s="2"/>
      <c r="C25" s="3"/>
      <c r="D25" s="3"/>
      <c r="E25" s="3"/>
      <c r="F25" s="3"/>
      <c r="G25" s="3"/>
      <c r="H25" s="4"/>
      <c r="I25" s="4"/>
      <c r="J25" s="4"/>
      <c r="K25" s="4"/>
      <c r="L25" s="4"/>
    </row>
    <row r="26" spans="1:12" ht="23.45" customHeight="1" x14ac:dyDescent="0.2">
      <c r="A26" s="26" t="s">
        <v>60</v>
      </c>
      <c r="B26" s="97"/>
      <c r="C26" s="73"/>
      <c r="D26" s="73">
        <v>3</v>
      </c>
      <c r="E26" s="73"/>
      <c r="F26" s="73"/>
      <c r="G26" s="75"/>
      <c r="H26" s="10"/>
      <c r="I26" s="4"/>
      <c r="J26" s="4"/>
      <c r="K26" s="4"/>
      <c r="L26" s="4"/>
    </row>
    <row r="27" spans="1:12" ht="23.45" customHeight="1" thickBot="1" x14ac:dyDescent="0.25">
      <c r="A27" s="16" t="s">
        <v>61</v>
      </c>
      <c r="B27" s="92"/>
      <c r="C27" s="85"/>
      <c r="D27" s="85">
        <v>3</v>
      </c>
      <c r="E27" s="85"/>
      <c r="F27" s="85"/>
      <c r="G27" s="87"/>
      <c r="H27" s="17"/>
      <c r="I27" s="4"/>
      <c r="J27" s="4"/>
      <c r="K27" s="4"/>
      <c r="L27" s="4"/>
    </row>
    <row r="28" spans="1:12" ht="14.65" customHeight="1" thickBot="1" x14ac:dyDescent="0.25">
      <c r="A28" s="18"/>
      <c r="B28" s="88">
        <f t="shared" ref="B28:G28" si="2">SUM(B26:B27)</f>
        <v>0</v>
      </c>
      <c r="C28" s="89">
        <f t="shared" si="2"/>
        <v>0</v>
      </c>
      <c r="D28" s="89">
        <f t="shared" si="2"/>
        <v>6</v>
      </c>
      <c r="E28" s="89">
        <f t="shared" si="2"/>
        <v>0</v>
      </c>
      <c r="F28" s="89">
        <f t="shared" si="2"/>
        <v>0</v>
      </c>
      <c r="G28" s="90">
        <f t="shared" si="2"/>
        <v>0</v>
      </c>
      <c r="H28" s="27">
        <f>SUM(B28:G28)/2</f>
        <v>3</v>
      </c>
      <c r="I28" s="10"/>
      <c r="J28" s="4"/>
      <c r="K28" s="4"/>
      <c r="L28" s="4"/>
    </row>
    <row r="29" spans="1:12" ht="14.65" customHeight="1" x14ac:dyDescent="0.2">
      <c r="A29" s="28"/>
      <c r="B29" s="88">
        <f t="shared" ref="B29:G29" si="3">B12+B23+B28</f>
        <v>0</v>
      </c>
      <c r="C29" s="89">
        <f t="shared" si="3"/>
        <v>0</v>
      </c>
      <c r="D29" s="89">
        <f t="shared" si="3"/>
        <v>51</v>
      </c>
      <c r="E29" s="89">
        <f t="shared" si="3"/>
        <v>8</v>
      </c>
      <c r="F29" s="89">
        <f t="shared" si="3"/>
        <v>0</v>
      </c>
      <c r="G29" s="90">
        <f t="shared" si="3"/>
        <v>0</v>
      </c>
      <c r="H29" s="29">
        <f>SUM(B29:G29)/19</f>
        <v>3.1052631578947367</v>
      </c>
      <c r="I29" s="10"/>
      <c r="J29" s="4"/>
      <c r="K29" s="4"/>
      <c r="L29" s="4"/>
    </row>
    <row r="30" spans="1:12" ht="14.1" customHeight="1" x14ac:dyDescent="0.2">
      <c r="A30" s="30"/>
      <c r="B30" s="24"/>
      <c r="C30" s="24"/>
      <c r="D30" s="24"/>
      <c r="E30" s="24"/>
      <c r="F30" s="24"/>
      <c r="G30" s="24"/>
      <c r="H30" s="31"/>
      <c r="I30" s="32"/>
      <c r="J30" s="32"/>
      <c r="K30" s="32"/>
      <c r="L30" s="32"/>
    </row>
    <row r="31" spans="1:12" ht="33.75" customHeight="1" x14ac:dyDescent="0.2">
      <c r="A31" s="30"/>
      <c r="B31" s="33"/>
      <c r="C31" s="33"/>
      <c r="D31" s="33"/>
      <c r="E31" s="33"/>
      <c r="F31" s="33"/>
      <c r="G31" s="34"/>
      <c r="H31" s="35" t="s">
        <v>22</v>
      </c>
      <c r="I31" s="35" t="s">
        <v>23</v>
      </c>
      <c r="J31" s="35" t="s">
        <v>24</v>
      </c>
      <c r="K31" s="35" t="s">
        <v>25</v>
      </c>
      <c r="L31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topLeftCell="A8" workbookViewId="0">
      <selection activeCell="D22" sqref="D22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7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4" customHeight="1" x14ac:dyDescent="0.2">
      <c r="A3" s="11" t="s">
        <v>62</v>
      </c>
      <c r="B3" s="72"/>
      <c r="C3" s="73"/>
      <c r="D3" s="73">
        <v>3</v>
      </c>
      <c r="E3" s="73"/>
      <c r="F3" s="74"/>
      <c r="G3" s="75"/>
      <c r="H3" s="10"/>
      <c r="I3" s="4"/>
      <c r="J3" s="4"/>
      <c r="K3" s="4"/>
      <c r="L3" s="4"/>
    </row>
    <row r="4" spans="1:12" ht="23.1" customHeight="1" x14ac:dyDescent="0.2">
      <c r="A4" s="11" t="s">
        <v>63</v>
      </c>
      <c r="B4" s="76"/>
      <c r="C4" s="77"/>
      <c r="D4" s="77"/>
      <c r="E4" s="78">
        <v>4</v>
      </c>
      <c r="F4" s="77"/>
      <c r="G4" s="79"/>
      <c r="H4" s="10"/>
      <c r="I4" s="4"/>
      <c r="J4" s="4"/>
      <c r="K4" s="4"/>
      <c r="L4" s="4"/>
    </row>
    <row r="5" spans="1:12" ht="33.950000000000003" customHeight="1" x14ac:dyDescent="0.2">
      <c r="A5" s="11" t="s">
        <v>64</v>
      </c>
      <c r="B5" s="76"/>
      <c r="C5" s="77"/>
      <c r="D5" s="78">
        <v>3</v>
      </c>
      <c r="E5" s="77"/>
      <c r="F5" s="77"/>
      <c r="G5" s="79"/>
      <c r="H5" s="10"/>
      <c r="I5" s="4"/>
      <c r="J5" s="4"/>
      <c r="K5" s="4"/>
      <c r="L5" s="4"/>
    </row>
    <row r="6" spans="1:12" ht="23.1" customHeight="1" x14ac:dyDescent="0.2">
      <c r="A6" s="11" t="s">
        <v>65</v>
      </c>
      <c r="B6" s="76"/>
      <c r="C6" s="77"/>
      <c r="D6" s="77">
        <v>3</v>
      </c>
      <c r="E6" s="77"/>
      <c r="F6" s="78"/>
      <c r="G6" s="79"/>
      <c r="H6" s="10"/>
      <c r="I6" s="4"/>
      <c r="J6" s="4"/>
      <c r="K6" s="4"/>
      <c r="L6" s="4"/>
    </row>
    <row r="7" spans="1:12" ht="23.1" customHeight="1" x14ac:dyDescent="0.2">
      <c r="A7" s="11" t="s">
        <v>66</v>
      </c>
      <c r="B7" s="76"/>
      <c r="C7" s="77"/>
      <c r="D7" s="77">
        <v>3</v>
      </c>
      <c r="E7" s="77"/>
      <c r="F7" s="78"/>
      <c r="G7" s="79"/>
      <c r="H7" s="10"/>
      <c r="I7" s="4"/>
      <c r="J7" s="4"/>
      <c r="K7" s="4"/>
      <c r="L7" s="4"/>
    </row>
    <row r="8" spans="1:12" ht="23.1" customHeight="1" x14ac:dyDescent="0.2">
      <c r="A8" s="37" t="s">
        <v>67</v>
      </c>
      <c r="B8" s="76"/>
      <c r="C8" s="77"/>
      <c r="D8" s="77">
        <v>3</v>
      </c>
      <c r="E8" s="78"/>
      <c r="F8" s="77"/>
      <c r="G8" s="79"/>
      <c r="H8" s="10"/>
      <c r="I8" s="4"/>
      <c r="J8" s="4"/>
      <c r="K8" s="4"/>
      <c r="L8" s="4"/>
    </row>
    <row r="9" spans="1:12" ht="24" customHeight="1" thickBot="1" x14ac:dyDescent="0.25">
      <c r="A9" s="16" t="s">
        <v>68</v>
      </c>
      <c r="B9" s="92"/>
      <c r="C9" s="85"/>
      <c r="D9" s="85">
        <v>3</v>
      </c>
      <c r="E9" s="85"/>
      <c r="F9" s="85"/>
      <c r="G9" s="87"/>
      <c r="H9" s="17"/>
      <c r="I9" s="4"/>
      <c r="J9" s="4"/>
      <c r="K9" s="4"/>
      <c r="L9" s="4"/>
    </row>
    <row r="10" spans="1:12" ht="14.65" customHeight="1" thickBot="1" x14ac:dyDescent="0.25">
      <c r="A10" s="18"/>
      <c r="B10" s="88">
        <f t="shared" ref="B10:G10" si="0">SUM(B3:B9)</f>
        <v>0</v>
      </c>
      <c r="C10" s="89">
        <f t="shared" si="0"/>
        <v>0</v>
      </c>
      <c r="D10" s="89">
        <f t="shared" si="0"/>
        <v>18</v>
      </c>
      <c r="E10" s="89">
        <f t="shared" si="0"/>
        <v>4</v>
      </c>
      <c r="F10" s="89">
        <f t="shared" si="0"/>
        <v>0</v>
      </c>
      <c r="G10" s="90">
        <f t="shared" si="0"/>
        <v>0</v>
      </c>
      <c r="H10" s="22">
        <f>SUM(B10:G10)/7</f>
        <v>3.1428571428571428</v>
      </c>
      <c r="I10" s="10"/>
      <c r="J10" s="4"/>
      <c r="K10" s="4"/>
      <c r="L10" s="4"/>
    </row>
    <row r="11" spans="1:12" ht="14.65" customHeight="1" x14ac:dyDescent="0.2">
      <c r="A11" s="23"/>
      <c r="B11" s="24"/>
      <c r="C11" s="24"/>
      <c r="D11" s="24"/>
      <c r="E11" s="24"/>
      <c r="F11" s="24"/>
      <c r="G11" s="24"/>
      <c r="H11" s="25"/>
      <c r="I11" s="4"/>
      <c r="J11" s="4"/>
      <c r="K11" s="4"/>
      <c r="L11" s="4"/>
    </row>
    <row r="12" spans="1:12" ht="14.65" customHeight="1" thickBot="1" x14ac:dyDescent="0.25">
      <c r="A12" s="1" t="s">
        <v>8</v>
      </c>
      <c r="B12" s="2"/>
      <c r="C12" s="3"/>
      <c r="D12" s="3"/>
      <c r="E12" s="3"/>
      <c r="F12" s="3"/>
      <c r="G12" s="3"/>
      <c r="H12" s="4"/>
      <c r="I12" s="4"/>
      <c r="J12" s="4"/>
      <c r="K12" s="4"/>
      <c r="L12" s="4"/>
    </row>
    <row r="13" spans="1:12" ht="22.5" x14ac:dyDescent="0.2">
      <c r="A13" s="26" t="s">
        <v>69</v>
      </c>
      <c r="B13" s="72"/>
      <c r="C13" s="74"/>
      <c r="D13" s="73">
        <v>3</v>
      </c>
      <c r="E13" s="73"/>
      <c r="F13" s="73"/>
      <c r="G13" s="75"/>
      <c r="H13" s="10"/>
      <c r="I13" s="4"/>
      <c r="J13" s="4"/>
      <c r="K13" s="4"/>
      <c r="L13" s="4"/>
    </row>
    <row r="14" spans="1:12" ht="13.5" customHeight="1" x14ac:dyDescent="0.2">
      <c r="A14" s="11" t="s">
        <v>70</v>
      </c>
      <c r="B14" s="76"/>
      <c r="C14" s="78"/>
      <c r="D14" s="77">
        <v>3</v>
      </c>
      <c r="E14" s="77"/>
      <c r="F14" s="77"/>
      <c r="G14" s="79"/>
      <c r="H14" s="10"/>
      <c r="I14" s="4"/>
      <c r="J14" s="4"/>
      <c r="K14" s="4"/>
      <c r="L14" s="4"/>
    </row>
    <row r="15" spans="1:12" ht="23.1" customHeight="1" x14ac:dyDescent="0.2">
      <c r="A15" s="11" t="s">
        <v>71</v>
      </c>
      <c r="B15" s="91"/>
      <c r="C15" s="77"/>
      <c r="D15" s="77">
        <v>3</v>
      </c>
      <c r="E15" s="77"/>
      <c r="F15" s="77"/>
      <c r="G15" s="79"/>
      <c r="H15" s="10"/>
      <c r="I15" s="4"/>
      <c r="J15" s="4"/>
      <c r="K15" s="4"/>
      <c r="L15" s="4"/>
    </row>
    <row r="16" spans="1:12" ht="22.5" x14ac:dyDescent="0.2">
      <c r="A16" s="11" t="s">
        <v>72</v>
      </c>
      <c r="B16" s="91"/>
      <c r="C16" s="77"/>
      <c r="D16" s="77">
        <v>3</v>
      </c>
      <c r="E16" s="77"/>
      <c r="F16" s="77"/>
      <c r="G16" s="79"/>
      <c r="H16" s="10"/>
      <c r="I16" s="4"/>
      <c r="J16" s="4"/>
      <c r="K16" s="4"/>
      <c r="L16" s="4"/>
    </row>
    <row r="17" spans="1:12" ht="23.45" customHeight="1" thickBot="1" x14ac:dyDescent="0.25">
      <c r="A17" s="16" t="s">
        <v>73</v>
      </c>
      <c r="B17" s="92"/>
      <c r="C17" s="85"/>
      <c r="D17" s="85">
        <v>3</v>
      </c>
      <c r="E17" s="85"/>
      <c r="F17" s="85"/>
      <c r="G17" s="87"/>
      <c r="H17" s="17"/>
      <c r="I17" s="4"/>
      <c r="J17" s="4"/>
      <c r="K17" s="4"/>
      <c r="L17" s="4"/>
    </row>
    <row r="18" spans="1:12" ht="14.65" customHeight="1" thickBot="1" x14ac:dyDescent="0.25">
      <c r="A18" s="18"/>
      <c r="B18" s="88">
        <f t="shared" ref="B18:G18" si="1">SUM(B13:B17)</f>
        <v>0</v>
      </c>
      <c r="C18" s="89">
        <f t="shared" si="1"/>
        <v>0</v>
      </c>
      <c r="D18" s="89">
        <f t="shared" si="1"/>
        <v>15</v>
      </c>
      <c r="E18" s="89">
        <f t="shared" si="1"/>
        <v>0</v>
      </c>
      <c r="F18" s="89">
        <f t="shared" si="1"/>
        <v>0</v>
      </c>
      <c r="G18" s="90">
        <f t="shared" si="1"/>
        <v>0</v>
      </c>
      <c r="H18" s="27">
        <f>SUM(B18:G18)/5</f>
        <v>3</v>
      </c>
      <c r="I18" s="10"/>
      <c r="J18" s="4"/>
      <c r="K18" s="4"/>
      <c r="L18" s="4"/>
    </row>
    <row r="19" spans="1:12" ht="14.65" customHeight="1" x14ac:dyDescent="0.2">
      <c r="A19" s="28"/>
      <c r="B19" s="88">
        <f t="shared" ref="B19:G19" si="2">B10+B18</f>
        <v>0</v>
      </c>
      <c r="C19" s="89">
        <f t="shared" si="2"/>
        <v>0</v>
      </c>
      <c r="D19" s="89">
        <f t="shared" si="2"/>
        <v>33</v>
      </c>
      <c r="E19" s="89">
        <f t="shared" si="2"/>
        <v>4</v>
      </c>
      <c r="F19" s="89">
        <f t="shared" si="2"/>
        <v>0</v>
      </c>
      <c r="G19" s="90">
        <f t="shared" si="2"/>
        <v>0</v>
      </c>
      <c r="H19" s="29">
        <f>SUM(B19:G19)/12</f>
        <v>3.0833333333333335</v>
      </c>
      <c r="I19" s="10"/>
      <c r="J19" s="4"/>
      <c r="K19" s="4"/>
      <c r="L19" s="4"/>
    </row>
    <row r="20" spans="1:12" ht="14.1" customHeight="1" x14ac:dyDescent="0.2">
      <c r="A20" s="30"/>
      <c r="B20" s="24"/>
      <c r="C20" s="24"/>
      <c r="D20" s="24"/>
      <c r="E20" s="24"/>
      <c r="F20" s="24"/>
      <c r="G20" s="24"/>
      <c r="H20" s="31"/>
      <c r="I20" s="32"/>
      <c r="J20" s="32"/>
      <c r="K20" s="32"/>
      <c r="L20" s="32"/>
    </row>
    <row r="21" spans="1:12" ht="33.75" customHeight="1" x14ac:dyDescent="0.2">
      <c r="A21" s="30"/>
      <c r="B21" s="33"/>
      <c r="C21" s="33"/>
      <c r="D21" s="33"/>
      <c r="E21" s="33"/>
      <c r="F21" s="33"/>
      <c r="G21" s="34"/>
      <c r="H21" s="35" t="s">
        <v>22</v>
      </c>
      <c r="I21" s="35" t="s">
        <v>23</v>
      </c>
      <c r="J21" s="35" t="s">
        <v>24</v>
      </c>
      <c r="K21" s="35" t="s">
        <v>25</v>
      </c>
      <c r="L21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topLeftCell="A14" workbookViewId="0">
      <selection activeCell="F25" sqref="F25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74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3.45" customHeight="1" x14ac:dyDescent="0.2">
      <c r="A3" s="11" t="s">
        <v>75</v>
      </c>
      <c r="B3" s="72"/>
      <c r="C3" s="73"/>
      <c r="D3" s="74">
        <v>3</v>
      </c>
      <c r="E3" s="73"/>
      <c r="F3" s="73"/>
      <c r="G3" s="75"/>
      <c r="H3" s="10"/>
      <c r="I3" s="4"/>
      <c r="J3" s="4"/>
      <c r="K3" s="4"/>
      <c r="L3" s="4"/>
    </row>
    <row r="4" spans="1:12" ht="35.25" customHeight="1" thickBot="1" x14ac:dyDescent="0.25">
      <c r="A4" s="16" t="s">
        <v>76</v>
      </c>
      <c r="B4" s="84"/>
      <c r="C4" s="86"/>
      <c r="D4" s="85">
        <v>3</v>
      </c>
      <c r="E4" s="85"/>
      <c r="F4" s="85"/>
      <c r="G4" s="87"/>
      <c r="H4" s="17"/>
      <c r="I4" s="4"/>
      <c r="J4" s="4"/>
      <c r="K4" s="4"/>
      <c r="L4" s="4"/>
    </row>
    <row r="5" spans="1:12" ht="14.65" customHeight="1" thickBot="1" x14ac:dyDescent="0.25">
      <c r="A5" s="18"/>
      <c r="B5" s="88">
        <f t="shared" ref="B5:G5" si="0">SUM(B3:B4)</f>
        <v>0</v>
      </c>
      <c r="C5" s="89">
        <f t="shared" si="0"/>
        <v>0</v>
      </c>
      <c r="D5" s="89">
        <f t="shared" si="0"/>
        <v>6</v>
      </c>
      <c r="E5" s="89">
        <f t="shared" si="0"/>
        <v>0</v>
      </c>
      <c r="F5" s="89">
        <f t="shared" si="0"/>
        <v>0</v>
      </c>
      <c r="G5" s="90">
        <f t="shared" si="0"/>
        <v>0</v>
      </c>
      <c r="H5" s="22">
        <f>SUM(B5:G5)/2</f>
        <v>3</v>
      </c>
      <c r="I5" s="10"/>
      <c r="J5" s="4"/>
      <c r="K5" s="4"/>
      <c r="L5" s="4"/>
    </row>
    <row r="6" spans="1:12" ht="14.65" customHeight="1" thickBot="1" x14ac:dyDescent="0.25">
      <c r="A6" s="40"/>
      <c r="B6" s="41"/>
      <c r="C6" s="41"/>
      <c r="D6" s="41"/>
      <c r="E6" s="41"/>
      <c r="F6" s="41"/>
      <c r="G6" s="41"/>
      <c r="H6" s="42"/>
      <c r="I6" s="43"/>
      <c r="J6" s="4"/>
      <c r="K6" s="4"/>
      <c r="L6" s="4"/>
    </row>
    <row r="7" spans="1:12" ht="14.65" customHeight="1" thickBot="1" x14ac:dyDescent="0.25">
      <c r="A7" s="1" t="s">
        <v>9</v>
      </c>
      <c r="B7" s="2"/>
      <c r="C7" s="3"/>
      <c r="D7" s="3"/>
      <c r="E7" s="3"/>
      <c r="F7" s="3"/>
      <c r="G7" s="3"/>
      <c r="H7" s="4"/>
      <c r="I7" s="43"/>
      <c r="J7" s="4"/>
      <c r="K7" s="4"/>
      <c r="L7" s="4"/>
    </row>
    <row r="8" spans="1:12" ht="22.5" x14ac:dyDescent="0.2">
      <c r="A8" s="11" t="s">
        <v>77</v>
      </c>
      <c r="B8" s="72"/>
      <c r="C8" s="73"/>
      <c r="D8" s="74">
        <v>3</v>
      </c>
      <c r="E8" s="73"/>
      <c r="F8" s="73"/>
      <c r="G8" s="75"/>
      <c r="H8" s="10"/>
      <c r="I8" s="43"/>
      <c r="J8" s="4"/>
      <c r="K8" s="4"/>
      <c r="L8" s="4"/>
    </row>
    <row r="9" spans="1:12" ht="22.5" x14ac:dyDescent="0.2">
      <c r="A9" s="11" t="s">
        <v>78</v>
      </c>
      <c r="B9" s="76"/>
      <c r="C9" s="77"/>
      <c r="D9" s="77"/>
      <c r="E9" s="78">
        <v>4</v>
      </c>
      <c r="F9" s="77"/>
      <c r="G9" s="79"/>
      <c r="H9" s="10"/>
      <c r="I9" s="43"/>
      <c r="J9" s="4"/>
      <c r="K9" s="4"/>
      <c r="L9" s="4"/>
    </row>
    <row r="10" spans="1:12" ht="14.65" customHeight="1" thickBot="1" x14ac:dyDescent="0.25">
      <c r="A10" s="16" t="s">
        <v>79</v>
      </c>
      <c r="B10" s="84"/>
      <c r="C10" s="86"/>
      <c r="D10" s="85"/>
      <c r="E10" s="85">
        <v>4</v>
      </c>
      <c r="F10" s="85"/>
      <c r="G10" s="87"/>
      <c r="H10" s="17"/>
      <c r="I10" s="43"/>
      <c r="J10" s="4"/>
      <c r="K10" s="4"/>
      <c r="L10" s="4"/>
    </row>
    <row r="11" spans="1:12" ht="14.65" customHeight="1" thickBot="1" x14ac:dyDescent="0.25">
      <c r="A11" s="18"/>
      <c r="B11" s="88">
        <f t="shared" ref="B11" si="1">SUM(B8:B10)</f>
        <v>0</v>
      </c>
      <c r="C11" s="89">
        <f t="shared" ref="C11" si="2">SUM(C8:C10)</f>
        <v>0</v>
      </c>
      <c r="D11" s="89">
        <f t="shared" ref="D11" si="3">SUM(D8:D10)</f>
        <v>3</v>
      </c>
      <c r="E11" s="89">
        <f t="shared" ref="E11" si="4">SUM(E8:E10)</f>
        <v>8</v>
      </c>
      <c r="F11" s="89">
        <f t="shared" ref="F11" si="5">SUM(F8:F10)</f>
        <v>0</v>
      </c>
      <c r="G11" s="90">
        <f t="shared" ref="G11" si="6">SUM(G8:G10)</f>
        <v>0</v>
      </c>
      <c r="H11" s="22">
        <f>SUM(B11:G11)/3</f>
        <v>3.6666666666666665</v>
      </c>
      <c r="I11" s="43"/>
      <c r="J11" s="4"/>
      <c r="K11" s="4"/>
      <c r="L11" s="4"/>
    </row>
    <row r="12" spans="1:12" ht="14.65" customHeight="1" thickBot="1" x14ac:dyDescent="0.25">
      <c r="A12" s="23"/>
      <c r="B12" s="24"/>
      <c r="C12" s="24"/>
      <c r="D12" s="24"/>
      <c r="E12" s="24"/>
      <c r="F12" s="24"/>
      <c r="G12" s="24"/>
      <c r="H12" s="25"/>
      <c r="I12" s="4"/>
      <c r="J12" s="4"/>
      <c r="K12" s="4"/>
      <c r="L12" s="4"/>
    </row>
    <row r="13" spans="1:12" ht="14.65" customHeight="1" thickBot="1" x14ac:dyDescent="0.25">
      <c r="A13" s="1" t="s">
        <v>176</v>
      </c>
      <c r="B13" s="2"/>
      <c r="C13" s="3"/>
      <c r="D13" s="3"/>
      <c r="E13" s="3"/>
      <c r="F13" s="3"/>
      <c r="G13" s="3"/>
      <c r="H13" s="4"/>
      <c r="I13" s="4"/>
      <c r="J13" s="4"/>
      <c r="K13" s="4"/>
      <c r="L13" s="4"/>
    </row>
    <row r="14" spans="1:12" ht="23.45" customHeight="1" x14ac:dyDescent="0.2">
      <c r="A14" s="26" t="s">
        <v>80</v>
      </c>
      <c r="B14" s="97"/>
      <c r="C14" s="73"/>
      <c r="D14" s="73"/>
      <c r="E14" s="73">
        <v>4</v>
      </c>
      <c r="F14" s="73"/>
      <c r="G14" s="75"/>
      <c r="H14" s="10"/>
      <c r="I14" s="4"/>
      <c r="J14" s="4"/>
      <c r="K14" s="4"/>
      <c r="L14" s="4"/>
    </row>
    <row r="15" spans="1:12" ht="19.5" customHeight="1" x14ac:dyDescent="0.2">
      <c r="A15" s="37" t="s">
        <v>81</v>
      </c>
      <c r="B15" s="76"/>
      <c r="C15" s="78"/>
      <c r="D15" s="77"/>
      <c r="E15" s="77">
        <v>4</v>
      </c>
      <c r="F15" s="77"/>
      <c r="G15" s="79"/>
      <c r="H15" s="10"/>
      <c r="I15" s="4"/>
      <c r="J15" s="4"/>
      <c r="K15" s="4"/>
      <c r="L15" s="4"/>
    </row>
    <row r="16" spans="1:12" ht="22.5" x14ac:dyDescent="0.2">
      <c r="A16" s="11" t="s">
        <v>82</v>
      </c>
      <c r="B16" s="91"/>
      <c r="C16" s="77"/>
      <c r="D16" s="77"/>
      <c r="E16" s="77"/>
      <c r="F16" s="77"/>
      <c r="G16" s="79">
        <v>6</v>
      </c>
      <c r="H16" s="10"/>
      <c r="I16" s="4"/>
      <c r="J16" s="4"/>
      <c r="K16" s="4"/>
      <c r="L16" s="4"/>
    </row>
    <row r="17" spans="1:12" ht="23.45" customHeight="1" thickBot="1" x14ac:dyDescent="0.25">
      <c r="A17" s="16" t="s">
        <v>83</v>
      </c>
      <c r="B17" s="92"/>
      <c r="C17" s="85"/>
      <c r="D17" s="85"/>
      <c r="E17" s="85"/>
      <c r="F17" s="85"/>
      <c r="G17" s="87">
        <v>6</v>
      </c>
      <c r="H17" s="17"/>
      <c r="I17" s="4"/>
      <c r="J17" s="4"/>
      <c r="K17" s="4"/>
      <c r="L17" s="4"/>
    </row>
    <row r="18" spans="1:12" ht="14.65" customHeight="1" thickBot="1" x14ac:dyDescent="0.25">
      <c r="A18" s="18"/>
      <c r="B18" s="88">
        <f t="shared" ref="B18:G18" si="7">SUM(B14:B17)</f>
        <v>0</v>
      </c>
      <c r="C18" s="89">
        <f t="shared" si="7"/>
        <v>0</v>
      </c>
      <c r="D18" s="89">
        <f t="shared" si="7"/>
        <v>0</v>
      </c>
      <c r="E18" s="89">
        <f t="shared" si="7"/>
        <v>8</v>
      </c>
      <c r="F18" s="89">
        <f t="shared" si="7"/>
        <v>0</v>
      </c>
      <c r="G18" s="90">
        <f t="shared" si="7"/>
        <v>12</v>
      </c>
      <c r="H18" s="27">
        <f>SUM(B18:G18)/4</f>
        <v>5</v>
      </c>
      <c r="I18" s="10"/>
      <c r="J18" s="4"/>
      <c r="K18" s="4"/>
      <c r="L18" s="4"/>
    </row>
    <row r="19" spans="1:12" ht="14.65" customHeight="1" x14ac:dyDescent="0.2">
      <c r="A19" s="23"/>
      <c r="B19" s="24"/>
      <c r="C19" s="24"/>
      <c r="D19" s="24"/>
      <c r="E19" s="24"/>
      <c r="F19" s="24"/>
      <c r="G19" s="24"/>
      <c r="H19" s="38"/>
      <c r="I19" s="4"/>
      <c r="J19" s="4"/>
      <c r="K19" s="4"/>
      <c r="L19" s="4"/>
    </row>
    <row r="20" spans="1:12" ht="14.65" customHeight="1" thickBot="1" x14ac:dyDescent="0.25">
      <c r="A20" s="1" t="s">
        <v>10</v>
      </c>
      <c r="B20" s="2"/>
      <c r="C20" s="3"/>
      <c r="D20" s="3"/>
      <c r="E20" s="3"/>
      <c r="F20" s="3"/>
      <c r="G20" s="3"/>
      <c r="H20" s="4"/>
      <c r="I20" s="4"/>
      <c r="J20" s="4"/>
      <c r="K20" s="4"/>
      <c r="L20" s="4"/>
    </row>
    <row r="21" spans="1:12" ht="23.45" customHeight="1" x14ac:dyDescent="0.2">
      <c r="A21" s="26" t="s">
        <v>84</v>
      </c>
      <c r="B21" s="72"/>
      <c r="C21" s="73"/>
      <c r="D21" s="73"/>
      <c r="E21" s="74"/>
      <c r="F21" s="73">
        <v>5</v>
      </c>
      <c r="G21" s="75"/>
      <c r="H21" s="10"/>
      <c r="I21" s="4"/>
      <c r="J21" s="4"/>
      <c r="K21" s="4"/>
      <c r="L21" s="4"/>
    </row>
    <row r="22" spans="1:12" ht="23.1" customHeight="1" x14ac:dyDescent="0.2">
      <c r="A22" s="11" t="s">
        <v>85</v>
      </c>
      <c r="B22" s="76"/>
      <c r="C22" s="77"/>
      <c r="D22" s="77"/>
      <c r="E22" s="78"/>
      <c r="F22" s="77">
        <v>5</v>
      </c>
      <c r="G22" s="79"/>
      <c r="H22" s="10"/>
      <c r="I22" s="4"/>
      <c r="J22" s="4"/>
      <c r="K22" s="4"/>
      <c r="L22" s="4"/>
    </row>
    <row r="23" spans="1:12" ht="21" customHeight="1" x14ac:dyDescent="0.2">
      <c r="A23" s="37" t="s">
        <v>86</v>
      </c>
      <c r="B23" s="91"/>
      <c r="C23" s="77"/>
      <c r="D23" s="77"/>
      <c r="E23" s="77"/>
      <c r="F23" s="77">
        <v>5</v>
      </c>
      <c r="G23" s="79"/>
      <c r="H23" s="10"/>
      <c r="I23" s="4"/>
      <c r="J23" s="4"/>
      <c r="K23" s="4"/>
      <c r="L23" s="4"/>
    </row>
    <row r="24" spans="1:12" ht="21" customHeight="1" thickBot="1" x14ac:dyDescent="0.25">
      <c r="A24" s="44" t="s">
        <v>87</v>
      </c>
      <c r="B24" s="84"/>
      <c r="C24" s="85"/>
      <c r="D24" s="85"/>
      <c r="E24" s="86"/>
      <c r="F24" s="85">
        <v>5</v>
      </c>
      <c r="G24" s="87"/>
      <c r="H24" s="17"/>
      <c r="I24" s="4"/>
      <c r="J24" s="4"/>
      <c r="K24" s="4"/>
      <c r="L24" s="4"/>
    </row>
    <row r="25" spans="1:12" ht="14.65" customHeight="1" thickBot="1" x14ac:dyDescent="0.25">
      <c r="A25" s="18"/>
      <c r="B25" s="98">
        <f t="shared" ref="B25:G25" si="8">SUM(B21:B24)</f>
        <v>0</v>
      </c>
      <c r="C25" s="99">
        <f t="shared" si="8"/>
        <v>0</v>
      </c>
      <c r="D25" s="99">
        <f t="shared" si="8"/>
        <v>0</v>
      </c>
      <c r="E25" s="99">
        <f t="shared" si="8"/>
        <v>0</v>
      </c>
      <c r="F25" s="99">
        <f t="shared" si="8"/>
        <v>20</v>
      </c>
      <c r="G25" s="100">
        <f t="shared" si="8"/>
        <v>0</v>
      </c>
      <c r="H25" s="27">
        <f>SUM(B25:G25)/4</f>
        <v>5</v>
      </c>
      <c r="I25" s="10"/>
      <c r="J25" s="4"/>
      <c r="K25" s="4"/>
      <c r="L25" s="4"/>
    </row>
    <row r="26" spans="1:12" ht="14.65" customHeight="1" thickBot="1" x14ac:dyDescent="0.25">
      <c r="A26" s="45"/>
      <c r="B26" s="101">
        <f>B5+B11+B18+B25</f>
        <v>0</v>
      </c>
      <c r="C26" s="102">
        <f t="shared" ref="C26:G26" si="9">C5+C11+C18+C25</f>
        <v>0</v>
      </c>
      <c r="D26" s="102">
        <f t="shared" si="9"/>
        <v>9</v>
      </c>
      <c r="E26" s="102">
        <f t="shared" si="9"/>
        <v>16</v>
      </c>
      <c r="F26" s="102">
        <f t="shared" si="9"/>
        <v>20</v>
      </c>
      <c r="G26" s="103">
        <f t="shared" si="9"/>
        <v>12</v>
      </c>
      <c r="H26" s="46">
        <f>SUM(B26:G26)/13</f>
        <v>4.384615384615385</v>
      </c>
      <c r="I26" s="10"/>
      <c r="J26" s="4"/>
      <c r="K26" s="4"/>
      <c r="L26" s="4"/>
    </row>
    <row r="27" spans="1:12" ht="14.1" customHeight="1" x14ac:dyDescent="0.2">
      <c r="A27" s="30"/>
      <c r="B27" s="47"/>
      <c r="C27" s="47"/>
      <c r="D27" s="47"/>
      <c r="E27" s="47"/>
      <c r="F27" s="47"/>
      <c r="G27" s="47"/>
      <c r="H27" s="31"/>
      <c r="I27" s="32"/>
      <c r="J27" s="32"/>
      <c r="K27" s="32"/>
      <c r="L27" s="32"/>
    </row>
    <row r="28" spans="1:12" ht="33.75" customHeight="1" x14ac:dyDescent="0.2">
      <c r="A28" s="30"/>
      <c r="B28" s="33"/>
      <c r="C28" s="33"/>
      <c r="D28" s="33"/>
      <c r="E28" s="33"/>
      <c r="F28" s="33"/>
      <c r="G28" s="34"/>
      <c r="H28" s="35" t="s">
        <v>22</v>
      </c>
      <c r="I28" s="35" t="s">
        <v>23</v>
      </c>
      <c r="J28" s="35" t="s">
        <v>24</v>
      </c>
      <c r="K28" s="35" t="s">
        <v>25</v>
      </c>
      <c r="L28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showGridLines="0" workbookViewId="0">
      <selection activeCell="C11" sqref="C11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11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7" customHeight="1" x14ac:dyDescent="0.2">
      <c r="A3" s="11" t="s">
        <v>88</v>
      </c>
      <c r="B3" s="97"/>
      <c r="C3" s="73">
        <v>2</v>
      </c>
      <c r="D3" s="73"/>
      <c r="E3" s="73"/>
      <c r="F3" s="73"/>
      <c r="G3" s="75"/>
      <c r="H3" s="10"/>
      <c r="I3" s="4"/>
      <c r="J3" s="4"/>
      <c r="K3" s="4"/>
      <c r="L3" s="4"/>
    </row>
    <row r="4" spans="1:12" ht="23.1" customHeight="1" x14ac:dyDescent="0.2">
      <c r="A4" s="11" t="s">
        <v>89</v>
      </c>
      <c r="B4" s="91"/>
      <c r="C4" s="77">
        <v>2</v>
      </c>
      <c r="D4" s="77"/>
      <c r="E4" s="77"/>
      <c r="F4" s="77"/>
      <c r="G4" s="79"/>
      <c r="H4" s="10"/>
      <c r="I4" s="4"/>
      <c r="J4" s="4"/>
      <c r="K4" s="4"/>
      <c r="L4" s="4"/>
    </row>
    <row r="5" spans="1:12" ht="23.1" customHeight="1" x14ac:dyDescent="0.2">
      <c r="A5" s="11" t="s">
        <v>90</v>
      </c>
      <c r="B5" s="91"/>
      <c r="C5" s="77">
        <v>2</v>
      </c>
      <c r="D5" s="77"/>
      <c r="E5" s="77"/>
      <c r="F5" s="77"/>
      <c r="G5" s="79"/>
      <c r="H5" s="10"/>
      <c r="I5" s="4"/>
      <c r="J5" s="4"/>
      <c r="K5" s="4"/>
      <c r="L5" s="4"/>
    </row>
    <row r="6" spans="1:12" ht="26.25" customHeight="1" x14ac:dyDescent="0.2">
      <c r="A6" s="11" t="s">
        <v>91</v>
      </c>
      <c r="B6" s="91"/>
      <c r="C6" s="77">
        <v>2</v>
      </c>
      <c r="D6" s="77"/>
      <c r="E6" s="77"/>
      <c r="F6" s="77"/>
      <c r="G6" s="79"/>
      <c r="H6" s="10"/>
      <c r="I6" s="4"/>
      <c r="J6" s="4"/>
      <c r="K6" s="4"/>
      <c r="L6" s="4"/>
    </row>
    <row r="7" spans="1:12" ht="36.75" customHeight="1" thickBot="1" x14ac:dyDescent="0.25">
      <c r="A7" s="16" t="s">
        <v>92</v>
      </c>
      <c r="B7" s="92"/>
      <c r="C7" s="85">
        <v>2</v>
      </c>
      <c r="D7" s="85"/>
      <c r="E7" s="85"/>
      <c r="F7" s="85"/>
      <c r="G7" s="87"/>
      <c r="H7" s="17"/>
      <c r="I7" s="4"/>
      <c r="J7" s="4"/>
      <c r="K7" s="4"/>
      <c r="L7" s="4"/>
    </row>
    <row r="8" spans="1:12" ht="14.65" customHeight="1" thickBot="1" x14ac:dyDescent="0.25">
      <c r="A8" s="18"/>
      <c r="B8" s="88">
        <f t="shared" ref="B8:G8" si="0">SUM(B3:B7)</f>
        <v>0</v>
      </c>
      <c r="C8" s="89">
        <f t="shared" si="0"/>
        <v>10</v>
      </c>
      <c r="D8" s="89">
        <f t="shared" si="0"/>
        <v>0</v>
      </c>
      <c r="E8" s="89">
        <f t="shared" si="0"/>
        <v>0</v>
      </c>
      <c r="F8" s="89">
        <f t="shared" si="0"/>
        <v>0</v>
      </c>
      <c r="G8" s="90">
        <f t="shared" si="0"/>
        <v>0</v>
      </c>
      <c r="H8" s="22">
        <f>SUM(B8:G8)/5</f>
        <v>2</v>
      </c>
      <c r="I8" s="10"/>
      <c r="J8" s="4"/>
      <c r="K8" s="4"/>
      <c r="L8" s="4"/>
    </row>
    <row r="9" spans="1:12" ht="14.65" customHeight="1" x14ac:dyDescent="0.2">
      <c r="A9" s="28"/>
      <c r="B9" s="88">
        <f t="shared" ref="B9:G9" si="1">B8</f>
        <v>0</v>
      </c>
      <c r="C9" s="89">
        <f t="shared" si="1"/>
        <v>10</v>
      </c>
      <c r="D9" s="89">
        <f t="shared" si="1"/>
        <v>0</v>
      </c>
      <c r="E9" s="89">
        <f t="shared" si="1"/>
        <v>0</v>
      </c>
      <c r="F9" s="89">
        <f t="shared" si="1"/>
        <v>0</v>
      </c>
      <c r="G9" s="90">
        <f t="shared" si="1"/>
        <v>0</v>
      </c>
      <c r="H9" s="29">
        <f>SUM(B9:G9)/5</f>
        <v>2</v>
      </c>
      <c r="I9" s="10"/>
      <c r="J9" s="4"/>
      <c r="K9" s="4"/>
      <c r="L9" s="4"/>
    </row>
    <row r="10" spans="1:12" ht="14.1" customHeight="1" x14ac:dyDescent="0.2">
      <c r="A10" s="30"/>
      <c r="B10" s="24"/>
      <c r="C10" s="24"/>
      <c r="D10" s="24"/>
      <c r="E10" s="24"/>
      <c r="F10" s="24"/>
      <c r="G10" s="24"/>
      <c r="H10" s="31"/>
      <c r="I10" s="32"/>
      <c r="J10" s="32"/>
      <c r="K10" s="32"/>
      <c r="L10" s="32"/>
    </row>
    <row r="11" spans="1:12" ht="33.75" customHeight="1" x14ac:dyDescent="0.2">
      <c r="A11" s="30"/>
      <c r="B11" s="33"/>
      <c r="C11" s="33"/>
      <c r="D11" s="33"/>
      <c r="E11" s="33"/>
      <c r="F11" s="33"/>
      <c r="G11" s="34"/>
      <c r="H11" s="35" t="s">
        <v>22</v>
      </c>
      <c r="I11" s="35" t="s">
        <v>23</v>
      </c>
      <c r="J11" s="35" t="s">
        <v>24</v>
      </c>
      <c r="K11" s="35" t="s">
        <v>25</v>
      </c>
      <c r="L11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showGridLines="0" topLeftCell="A9" workbookViewId="0">
      <selection activeCell="D22" sqref="D22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13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3.45" customHeight="1" x14ac:dyDescent="0.2">
      <c r="A3" s="11" t="s">
        <v>93</v>
      </c>
      <c r="B3" s="97"/>
      <c r="C3" s="73"/>
      <c r="D3" s="73">
        <v>3</v>
      </c>
      <c r="E3" s="73"/>
      <c r="F3" s="73"/>
      <c r="G3" s="75"/>
      <c r="H3" s="10"/>
      <c r="I3" s="4"/>
      <c r="J3" s="4"/>
      <c r="K3" s="4"/>
      <c r="L3" s="4"/>
    </row>
    <row r="4" spans="1:12" ht="23.1" customHeight="1" x14ac:dyDescent="0.2">
      <c r="A4" s="11" t="s">
        <v>94</v>
      </c>
      <c r="B4" s="91"/>
      <c r="C4" s="77"/>
      <c r="D4" s="77">
        <v>3</v>
      </c>
      <c r="E4" s="77"/>
      <c r="F4" s="77"/>
      <c r="G4" s="79"/>
      <c r="H4" s="10"/>
      <c r="I4" s="4"/>
      <c r="J4" s="4"/>
      <c r="K4" s="4"/>
      <c r="L4" s="4"/>
    </row>
    <row r="5" spans="1:12" ht="23.1" customHeight="1" x14ac:dyDescent="0.2">
      <c r="A5" s="11" t="s">
        <v>95</v>
      </c>
      <c r="B5" s="76"/>
      <c r="C5" s="77"/>
      <c r="D5" s="77">
        <v>3</v>
      </c>
      <c r="E5" s="78"/>
      <c r="F5" s="77"/>
      <c r="G5" s="79"/>
      <c r="H5" s="10"/>
      <c r="I5" s="4"/>
      <c r="J5" s="4"/>
      <c r="K5" s="4"/>
      <c r="L5" s="4"/>
    </row>
    <row r="6" spans="1:12" ht="23.1" customHeight="1" x14ac:dyDescent="0.2">
      <c r="A6" s="11" t="s">
        <v>96</v>
      </c>
      <c r="B6" s="76"/>
      <c r="C6" s="77"/>
      <c r="D6" s="77">
        <v>3</v>
      </c>
      <c r="E6" s="77"/>
      <c r="F6" s="78"/>
      <c r="G6" s="79"/>
      <c r="H6" s="10"/>
      <c r="I6" s="4"/>
      <c r="J6" s="4"/>
      <c r="K6" s="4"/>
      <c r="L6" s="4"/>
    </row>
    <row r="7" spans="1:12" ht="23.1" customHeight="1" x14ac:dyDescent="0.2">
      <c r="A7" s="11" t="s">
        <v>97</v>
      </c>
      <c r="B7" s="76"/>
      <c r="C7" s="77">
        <v>2</v>
      </c>
      <c r="D7" s="78"/>
      <c r="E7" s="77"/>
      <c r="F7" s="77"/>
      <c r="G7" s="79"/>
      <c r="H7" s="10"/>
      <c r="I7" s="4"/>
      <c r="J7" s="4"/>
      <c r="K7" s="4"/>
      <c r="L7" s="4"/>
    </row>
    <row r="8" spans="1:12" ht="23.1" customHeight="1" x14ac:dyDescent="0.2">
      <c r="A8" s="11" t="s">
        <v>98</v>
      </c>
      <c r="B8" s="76"/>
      <c r="C8" s="77">
        <v>2</v>
      </c>
      <c r="D8" s="77"/>
      <c r="E8" s="78"/>
      <c r="F8" s="77"/>
      <c r="G8" s="79"/>
      <c r="H8" s="10"/>
      <c r="I8" s="4"/>
      <c r="J8" s="4"/>
      <c r="K8" s="4"/>
      <c r="L8" s="4"/>
    </row>
    <row r="9" spans="1:12" ht="24.75" customHeight="1" thickBot="1" x14ac:dyDescent="0.25">
      <c r="A9" s="44" t="s">
        <v>99</v>
      </c>
      <c r="B9" s="84"/>
      <c r="C9" s="85">
        <v>2</v>
      </c>
      <c r="D9" s="85"/>
      <c r="E9" s="86"/>
      <c r="F9" s="85"/>
      <c r="G9" s="87"/>
      <c r="H9" s="17"/>
      <c r="I9" s="4"/>
      <c r="J9" s="4"/>
      <c r="K9" s="4"/>
      <c r="L9" s="4"/>
    </row>
    <row r="10" spans="1:12" ht="14.65" customHeight="1" thickBot="1" x14ac:dyDescent="0.25">
      <c r="A10" s="18"/>
      <c r="B10" s="88">
        <f t="shared" ref="B10:G10" si="0">SUM(B3:B9)</f>
        <v>0</v>
      </c>
      <c r="C10" s="89">
        <f t="shared" si="0"/>
        <v>6</v>
      </c>
      <c r="D10" s="89">
        <f t="shared" si="0"/>
        <v>12</v>
      </c>
      <c r="E10" s="89">
        <f t="shared" si="0"/>
        <v>0</v>
      </c>
      <c r="F10" s="89">
        <f t="shared" si="0"/>
        <v>0</v>
      </c>
      <c r="G10" s="90">
        <f t="shared" si="0"/>
        <v>0</v>
      </c>
      <c r="H10" s="22">
        <f>SUM(B10:G10)/7</f>
        <v>2.5714285714285716</v>
      </c>
      <c r="I10" s="10"/>
      <c r="J10" s="4"/>
      <c r="K10" s="4"/>
      <c r="L10" s="4"/>
    </row>
    <row r="11" spans="1:12" ht="14.65" customHeight="1" x14ac:dyDescent="0.2">
      <c r="A11" s="23"/>
      <c r="B11" s="24"/>
      <c r="C11" s="24"/>
      <c r="D11" s="24"/>
      <c r="E11" s="24"/>
      <c r="F11" s="24"/>
      <c r="G11" s="24"/>
      <c r="H11" s="25"/>
      <c r="I11" s="4"/>
      <c r="J11" s="4"/>
      <c r="K11" s="4"/>
      <c r="L11" s="4"/>
    </row>
    <row r="12" spans="1:12" ht="14.65" customHeight="1" thickBot="1" x14ac:dyDescent="0.25">
      <c r="A12" s="1" t="s">
        <v>14</v>
      </c>
      <c r="B12" s="2"/>
      <c r="C12" s="3"/>
      <c r="D12" s="3"/>
      <c r="E12" s="3"/>
      <c r="F12" s="3"/>
      <c r="G12" s="3"/>
      <c r="H12" s="4"/>
      <c r="I12" s="4"/>
      <c r="J12" s="4"/>
      <c r="K12" s="4"/>
      <c r="L12" s="4"/>
    </row>
    <row r="13" spans="1:12" ht="23.45" customHeight="1" x14ac:dyDescent="0.2">
      <c r="A13" s="26" t="s">
        <v>100</v>
      </c>
      <c r="B13" s="72"/>
      <c r="C13" s="73">
        <v>2</v>
      </c>
      <c r="D13" s="73"/>
      <c r="E13" s="74"/>
      <c r="F13" s="73"/>
      <c r="G13" s="75"/>
      <c r="H13" s="10"/>
      <c r="I13" s="4"/>
      <c r="J13" s="4"/>
      <c r="K13" s="4"/>
      <c r="L13" s="4"/>
    </row>
    <row r="14" spans="1:12" ht="13.5" customHeight="1" x14ac:dyDescent="0.2">
      <c r="A14" s="11" t="s">
        <v>101</v>
      </c>
      <c r="B14" s="91"/>
      <c r="C14" s="77">
        <v>2</v>
      </c>
      <c r="D14" s="77"/>
      <c r="E14" s="77"/>
      <c r="F14" s="77"/>
      <c r="G14" s="79"/>
      <c r="H14" s="10"/>
      <c r="I14" s="4"/>
      <c r="J14" s="4"/>
      <c r="K14" s="4"/>
      <c r="L14" s="4"/>
    </row>
    <row r="15" spans="1:12" ht="23.1" customHeight="1" x14ac:dyDescent="0.2">
      <c r="A15" s="11" t="s">
        <v>102</v>
      </c>
      <c r="B15" s="76"/>
      <c r="C15" s="77">
        <v>2</v>
      </c>
      <c r="D15" s="78"/>
      <c r="E15" s="77"/>
      <c r="F15" s="77"/>
      <c r="G15" s="79"/>
      <c r="H15" s="10"/>
      <c r="I15" s="4"/>
      <c r="J15" s="4"/>
      <c r="K15" s="4"/>
      <c r="L15" s="4"/>
    </row>
    <row r="16" spans="1:12" ht="23.1" customHeight="1" x14ac:dyDescent="0.2">
      <c r="A16" s="11" t="s">
        <v>103</v>
      </c>
      <c r="B16" s="76"/>
      <c r="C16" s="77"/>
      <c r="D16" s="77">
        <v>3</v>
      </c>
      <c r="E16" s="78"/>
      <c r="F16" s="77"/>
      <c r="G16" s="79"/>
      <c r="H16" s="10"/>
      <c r="I16" s="4"/>
      <c r="J16" s="4"/>
      <c r="K16" s="4"/>
      <c r="L16" s="4"/>
    </row>
    <row r="17" spans="1:12" ht="36" customHeight="1" thickBot="1" x14ac:dyDescent="0.25">
      <c r="A17" s="16" t="s">
        <v>104</v>
      </c>
      <c r="B17" s="84"/>
      <c r="C17" s="86"/>
      <c r="D17" s="85">
        <v>3</v>
      </c>
      <c r="E17" s="85"/>
      <c r="F17" s="85"/>
      <c r="G17" s="87"/>
      <c r="H17" s="17"/>
      <c r="I17" s="4"/>
      <c r="J17" s="4"/>
      <c r="K17" s="4"/>
      <c r="L17" s="4"/>
    </row>
    <row r="18" spans="1:12" ht="14.65" customHeight="1" thickBot="1" x14ac:dyDescent="0.25">
      <c r="A18" s="18"/>
      <c r="B18" s="88">
        <f t="shared" ref="B18:G18" si="1">SUM(B13:B17)</f>
        <v>0</v>
      </c>
      <c r="C18" s="89">
        <f t="shared" si="1"/>
        <v>6</v>
      </c>
      <c r="D18" s="89">
        <f t="shared" si="1"/>
        <v>6</v>
      </c>
      <c r="E18" s="89">
        <f t="shared" si="1"/>
        <v>0</v>
      </c>
      <c r="F18" s="89">
        <f t="shared" si="1"/>
        <v>0</v>
      </c>
      <c r="G18" s="90">
        <f t="shared" si="1"/>
        <v>0</v>
      </c>
      <c r="H18" s="27">
        <f>SUM(B18:G18)/5</f>
        <v>2.4</v>
      </c>
      <c r="I18" s="10"/>
      <c r="J18" s="4"/>
      <c r="K18" s="4"/>
      <c r="L18" s="4"/>
    </row>
    <row r="19" spans="1:12" ht="14.65" customHeight="1" x14ac:dyDescent="0.2">
      <c r="A19" s="28"/>
      <c r="B19" s="88">
        <f t="shared" ref="B19:G19" si="2">B10+B18</f>
        <v>0</v>
      </c>
      <c r="C19" s="89">
        <f t="shared" si="2"/>
        <v>12</v>
      </c>
      <c r="D19" s="89">
        <f t="shared" si="2"/>
        <v>18</v>
      </c>
      <c r="E19" s="89">
        <f t="shared" si="2"/>
        <v>0</v>
      </c>
      <c r="F19" s="89">
        <f t="shared" si="2"/>
        <v>0</v>
      </c>
      <c r="G19" s="90">
        <f t="shared" si="2"/>
        <v>0</v>
      </c>
      <c r="H19" s="29">
        <f>SUM(B19:G19)/12</f>
        <v>2.5</v>
      </c>
      <c r="I19" s="10"/>
      <c r="J19" s="4"/>
      <c r="K19" s="4"/>
      <c r="L19" s="4"/>
    </row>
    <row r="20" spans="1:12" ht="14.1" customHeight="1" x14ac:dyDescent="0.2">
      <c r="A20" s="30"/>
      <c r="B20" s="24"/>
      <c r="C20" s="24"/>
      <c r="D20" s="24"/>
      <c r="E20" s="24"/>
      <c r="F20" s="24"/>
      <c r="G20" s="24"/>
      <c r="H20" s="31"/>
      <c r="I20" s="32"/>
      <c r="J20" s="32"/>
      <c r="K20" s="32"/>
      <c r="L20" s="32"/>
    </row>
    <row r="21" spans="1:12" ht="33.75" customHeight="1" x14ac:dyDescent="0.2">
      <c r="A21" s="30"/>
      <c r="B21" s="33"/>
      <c r="C21" s="33"/>
      <c r="D21" s="33"/>
      <c r="E21" s="33"/>
      <c r="F21" s="33"/>
      <c r="G21" s="34"/>
      <c r="H21" s="35" t="s">
        <v>22</v>
      </c>
      <c r="I21" s="35" t="s">
        <v>23</v>
      </c>
      <c r="J21" s="35" t="s">
        <v>24</v>
      </c>
      <c r="K21" s="35" t="s">
        <v>25</v>
      </c>
      <c r="L21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activeCell="C11" sqref="C11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16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3.45" customHeight="1" x14ac:dyDescent="0.2">
      <c r="A3" s="11" t="s">
        <v>105</v>
      </c>
      <c r="B3" s="72"/>
      <c r="C3" s="73"/>
      <c r="D3" s="73">
        <v>3</v>
      </c>
      <c r="E3" s="74"/>
      <c r="F3" s="73"/>
      <c r="G3" s="75"/>
      <c r="H3" s="10"/>
      <c r="I3" s="4"/>
      <c r="J3" s="4"/>
      <c r="K3" s="4"/>
      <c r="L3" s="4"/>
    </row>
    <row r="4" spans="1:12" ht="23.1" customHeight="1" x14ac:dyDescent="0.2">
      <c r="A4" s="11" t="s">
        <v>106</v>
      </c>
      <c r="B4" s="76"/>
      <c r="C4" s="77"/>
      <c r="D4" s="77">
        <v>3</v>
      </c>
      <c r="E4" s="78"/>
      <c r="F4" s="77"/>
      <c r="G4" s="79"/>
      <c r="H4" s="10"/>
      <c r="I4" s="4"/>
      <c r="J4" s="4"/>
      <c r="K4" s="4"/>
      <c r="L4" s="4"/>
    </row>
    <row r="5" spans="1:12" ht="24" customHeight="1" x14ac:dyDescent="0.2">
      <c r="A5" s="11" t="s">
        <v>107</v>
      </c>
      <c r="B5" s="76"/>
      <c r="C5" s="77">
        <v>2</v>
      </c>
      <c r="D5" s="77"/>
      <c r="E5" s="78"/>
      <c r="F5" s="77"/>
      <c r="G5" s="79"/>
      <c r="H5" s="10"/>
      <c r="I5" s="4"/>
      <c r="J5" s="4"/>
      <c r="K5" s="4"/>
      <c r="L5" s="4"/>
    </row>
    <row r="6" spans="1:12" ht="23.45" customHeight="1" thickBot="1" x14ac:dyDescent="0.25">
      <c r="A6" s="16" t="s">
        <v>108</v>
      </c>
      <c r="B6" s="84"/>
      <c r="C6" s="85">
        <v>2</v>
      </c>
      <c r="D6" s="85"/>
      <c r="E6" s="86"/>
      <c r="F6" s="85"/>
      <c r="G6" s="87"/>
      <c r="H6" s="17"/>
      <c r="I6" s="4"/>
      <c r="J6" s="4"/>
      <c r="K6" s="4"/>
      <c r="L6" s="4"/>
    </row>
    <row r="7" spans="1:12" ht="14.65" customHeight="1" thickBot="1" x14ac:dyDescent="0.25">
      <c r="A7" s="18"/>
      <c r="B7" s="88">
        <f t="shared" ref="B7:G7" si="0">SUM(B3:B6)</f>
        <v>0</v>
      </c>
      <c r="C7" s="89">
        <f t="shared" si="0"/>
        <v>4</v>
      </c>
      <c r="D7" s="89">
        <f t="shared" si="0"/>
        <v>6</v>
      </c>
      <c r="E7" s="89">
        <f t="shared" si="0"/>
        <v>0</v>
      </c>
      <c r="F7" s="89">
        <f t="shared" si="0"/>
        <v>0</v>
      </c>
      <c r="G7" s="90">
        <f t="shared" si="0"/>
        <v>0</v>
      </c>
      <c r="H7" s="22">
        <f>SUM(B7:G7)/4</f>
        <v>2.5</v>
      </c>
      <c r="I7" s="10"/>
      <c r="J7" s="4"/>
      <c r="K7" s="4"/>
      <c r="L7" s="4"/>
    </row>
    <row r="8" spans="1:12" ht="14.65" customHeight="1" x14ac:dyDescent="0.2">
      <c r="A8" s="28"/>
      <c r="B8" s="88">
        <f t="shared" ref="B8:G8" si="1">B7</f>
        <v>0</v>
      </c>
      <c r="C8" s="89">
        <f t="shared" si="1"/>
        <v>4</v>
      </c>
      <c r="D8" s="89">
        <f t="shared" si="1"/>
        <v>6</v>
      </c>
      <c r="E8" s="89">
        <f t="shared" si="1"/>
        <v>0</v>
      </c>
      <c r="F8" s="89">
        <f t="shared" si="1"/>
        <v>0</v>
      </c>
      <c r="G8" s="90">
        <f t="shared" si="1"/>
        <v>0</v>
      </c>
      <c r="H8" s="29">
        <f>SUM(B8:G8)/4</f>
        <v>2.5</v>
      </c>
      <c r="I8" s="10"/>
      <c r="J8" s="4"/>
      <c r="K8" s="4"/>
      <c r="L8" s="4"/>
    </row>
    <row r="9" spans="1:12" ht="14.1" customHeight="1" x14ac:dyDescent="0.2">
      <c r="A9" s="30"/>
      <c r="B9" s="24"/>
      <c r="C9" s="24"/>
      <c r="D9" s="24"/>
      <c r="E9" s="24"/>
      <c r="F9" s="24"/>
      <c r="G9" s="24"/>
      <c r="H9" s="31"/>
      <c r="I9" s="32"/>
      <c r="J9" s="32"/>
      <c r="K9" s="32"/>
      <c r="L9" s="32"/>
    </row>
    <row r="10" spans="1:12" ht="33.75" customHeight="1" x14ac:dyDescent="0.2">
      <c r="A10" s="30"/>
      <c r="B10" s="33"/>
      <c r="C10" s="33"/>
      <c r="D10" s="33"/>
      <c r="E10" s="33"/>
      <c r="F10" s="33"/>
      <c r="G10" s="34"/>
      <c r="H10" s="35" t="s">
        <v>22</v>
      </c>
      <c r="I10" s="35" t="s">
        <v>23</v>
      </c>
      <c r="J10" s="35" t="s">
        <v>24</v>
      </c>
      <c r="K10" s="35" t="s">
        <v>25</v>
      </c>
      <c r="L10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showGridLines="0" workbookViewId="0">
      <selection activeCell="B10" sqref="B10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3" width="10.85546875" style="5" customWidth="1"/>
    <col min="14" max="16384" width="10.85546875" style="5"/>
  </cols>
  <sheetData>
    <row r="1" spans="1:12" ht="14.65" customHeight="1" x14ac:dyDescent="0.2">
      <c r="A1" s="1" t="s">
        <v>177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9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23.45" customHeight="1" x14ac:dyDescent="0.2">
      <c r="A3" s="70" t="s">
        <v>109</v>
      </c>
      <c r="B3" s="104">
        <v>1</v>
      </c>
      <c r="C3" s="74"/>
      <c r="D3" s="73"/>
      <c r="E3" s="73"/>
      <c r="F3" s="73"/>
      <c r="G3" s="75"/>
      <c r="H3" s="10"/>
      <c r="I3" s="4"/>
      <c r="J3" s="4"/>
      <c r="K3" s="4"/>
      <c r="L3" s="4"/>
    </row>
    <row r="4" spans="1:12" ht="24" customHeight="1" thickBot="1" x14ac:dyDescent="0.25">
      <c r="A4" s="71" t="s">
        <v>110</v>
      </c>
      <c r="B4" s="105">
        <v>1</v>
      </c>
      <c r="C4" s="85"/>
      <c r="D4" s="85"/>
      <c r="E4" s="85"/>
      <c r="F4" s="85"/>
      <c r="G4" s="87"/>
      <c r="H4" s="17"/>
      <c r="I4" s="4"/>
      <c r="J4" s="4"/>
      <c r="K4" s="4"/>
      <c r="L4" s="4"/>
    </row>
    <row r="5" spans="1:12" ht="14.65" customHeight="1" thickBot="1" x14ac:dyDescent="0.25">
      <c r="A5" s="64"/>
      <c r="B5" s="88">
        <f t="shared" ref="B5:G5" si="0">SUM(B3:B4)</f>
        <v>2</v>
      </c>
      <c r="C5" s="89">
        <f t="shared" si="0"/>
        <v>0</v>
      </c>
      <c r="D5" s="89">
        <f t="shared" si="0"/>
        <v>0</v>
      </c>
      <c r="E5" s="89">
        <f t="shared" si="0"/>
        <v>0</v>
      </c>
      <c r="F5" s="89">
        <f t="shared" si="0"/>
        <v>0</v>
      </c>
      <c r="G5" s="90">
        <f t="shared" si="0"/>
        <v>0</v>
      </c>
      <c r="H5" s="22">
        <f>SUM(B5:G5)/2</f>
        <v>1</v>
      </c>
      <c r="I5" s="10"/>
      <c r="J5" s="4"/>
      <c r="K5" s="4"/>
      <c r="L5" s="4"/>
    </row>
    <row r="6" spans="1:12" ht="14.1" customHeight="1" thickBot="1" x14ac:dyDescent="0.25">
      <c r="A6" s="30"/>
      <c r="B6" s="88">
        <f t="shared" ref="B6:G6" si="1">B5</f>
        <v>2</v>
      </c>
      <c r="C6" s="89">
        <f t="shared" si="1"/>
        <v>0</v>
      </c>
      <c r="D6" s="89">
        <f t="shared" si="1"/>
        <v>0</v>
      </c>
      <c r="E6" s="89">
        <f t="shared" si="1"/>
        <v>0</v>
      </c>
      <c r="F6" s="89">
        <f t="shared" si="1"/>
        <v>0</v>
      </c>
      <c r="G6" s="90">
        <f t="shared" si="1"/>
        <v>0</v>
      </c>
      <c r="H6" s="29">
        <f>SUM(B6:G6)/2</f>
        <v>1</v>
      </c>
      <c r="I6" s="4"/>
      <c r="J6" s="4"/>
      <c r="K6" s="4"/>
      <c r="L6" s="4"/>
    </row>
    <row r="7" spans="1:12" ht="13.5" customHeight="1" x14ac:dyDescent="0.2">
      <c r="A7" s="30"/>
      <c r="B7" s="48"/>
      <c r="C7" s="48"/>
      <c r="D7" s="48"/>
      <c r="E7" s="48"/>
      <c r="F7" s="48"/>
      <c r="G7" s="48"/>
      <c r="H7" s="32"/>
      <c r="I7" s="32"/>
      <c r="J7" s="32"/>
      <c r="K7" s="32"/>
      <c r="L7" s="32"/>
    </row>
    <row r="8" spans="1:12" ht="33.75" customHeight="1" x14ac:dyDescent="0.2">
      <c r="A8" s="30"/>
      <c r="B8" s="33"/>
      <c r="C8" s="33"/>
      <c r="D8" s="33"/>
      <c r="E8" s="33"/>
      <c r="F8" s="33"/>
      <c r="G8" s="34"/>
      <c r="H8" s="35" t="s">
        <v>22</v>
      </c>
      <c r="I8" s="35" t="s">
        <v>23</v>
      </c>
      <c r="J8" s="35" t="s">
        <v>24</v>
      </c>
      <c r="K8" s="35" t="s">
        <v>25</v>
      </c>
      <c r="L8" s="35" t="s">
        <v>26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A0C1-BF8A-40F9-85AD-D623A4A600F3}">
  <dimension ref="A1:L31"/>
  <sheetViews>
    <sheetView topLeftCell="A18" workbookViewId="0">
      <selection activeCell="D33" sqref="D33"/>
    </sheetView>
  </sheetViews>
  <sheetFormatPr baseColWidth="10" defaultColWidth="10.85546875" defaultRowHeight="11.25" x14ac:dyDescent="0.2"/>
  <cols>
    <col min="1" max="1" width="63.42578125" style="5" customWidth="1"/>
    <col min="2" max="7" width="4.7109375" style="5" customWidth="1"/>
    <col min="8" max="12" width="15.7109375" style="5" customWidth="1"/>
    <col min="13" max="16384" width="10.85546875" style="5"/>
  </cols>
  <sheetData>
    <row r="1" spans="1:12" ht="14.65" customHeight="1" thickBot="1" x14ac:dyDescent="0.25">
      <c r="A1" s="1" t="s">
        <v>111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53">
        <v>1</v>
      </c>
      <c r="C2" s="54">
        <v>2</v>
      </c>
      <c r="D2" s="54">
        <v>3</v>
      </c>
      <c r="E2" s="54">
        <v>4</v>
      </c>
      <c r="F2" s="54">
        <v>5</v>
      </c>
      <c r="G2" s="55">
        <v>6</v>
      </c>
      <c r="H2" s="10"/>
      <c r="I2" s="4"/>
      <c r="J2" s="4"/>
      <c r="K2" s="4"/>
      <c r="L2" s="4"/>
    </row>
    <row r="3" spans="1:12" ht="23.45" customHeight="1" x14ac:dyDescent="0.2">
      <c r="A3" s="51" t="s">
        <v>112</v>
      </c>
      <c r="B3" s="106"/>
      <c r="C3" s="107"/>
      <c r="D3" s="108"/>
      <c r="E3" s="107"/>
      <c r="F3" s="107">
        <v>5</v>
      </c>
      <c r="G3" s="109"/>
      <c r="H3" s="43"/>
      <c r="I3" s="4"/>
      <c r="J3" s="4"/>
      <c r="K3" s="4"/>
      <c r="L3" s="4"/>
    </row>
    <row r="4" spans="1:12" ht="23.45" customHeight="1" x14ac:dyDescent="0.2">
      <c r="A4" s="49" t="s">
        <v>113</v>
      </c>
      <c r="B4" s="110"/>
      <c r="C4" s="111"/>
      <c r="D4" s="112"/>
      <c r="E4" s="111"/>
      <c r="F4" s="111">
        <v>5</v>
      </c>
      <c r="G4" s="113"/>
      <c r="H4" s="50"/>
      <c r="I4" s="4"/>
      <c r="J4" s="4"/>
      <c r="K4" s="4"/>
      <c r="L4" s="4"/>
    </row>
    <row r="5" spans="1:12" ht="35.25" customHeight="1" x14ac:dyDescent="0.2">
      <c r="A5" s="49" t="s">
        <v>114</v>
      </c>
      <c r="B5" s="110"/>
      <c r="C5" s="111"/>
      <c r="D5" s="112"/>
      <c r="E5" s="111"/>
      <c r="F5" s="111">
        <v>4</v>
      </c>
      <c r="G5" s="113"/>
      <c r="H5" s="50"/>
      <c r="I5" s="4"/>
      <c r="J5" s="4"/>
      <c r="K5" s="4"/>
      <c r="L5" s="4"/>
    </row>
    <row r="6" spans="1:12" ht="23.45" customHeight="1" x14ac:dyDescent="0.2">
      <c r="A6" s="49" t="s">
        <v>115</v>
      </c>
      <c r="B6" s="110"/>
      <c r="C6" s="111"/>
      <c r="D6" s="112"/>
      <c r="E6" s="111">
        <v>4</v>
      </c>
      <c r="F6" s="111"/>
      <c r="G6" s="113"/>
      <c r="H6" s="50"/>
      <c r="I6" s="4"/>
      <c r="J6" s="4"/>
      <c r="K6" s="4"/>
      <c r="L6" s="4"/>
    </row>
    <row r="7" spans="1:12" ht="23.45" customHeight="1" x14ac:dyDescent="0.2">
      <c r="A7" s="49" t="s">
        <v>116</v>
      </c>
      <c r="B7" s="110"/>
      <c r="C7" s="111"/>
      <c r="D7" s="112"/>
      <c r="E7" s="111">
        <v>4</v>
      </c>
      <c r="F7" s="111"/>
      <c r="G7" s="113"/>
      <c r="H7" s="50"/>
      <c r="I7" s="4"/>
      <c r="J7" s="4"/>
      <c r="K7" s="4"/>
      <c r="L7" s="4"/>
    </row>
    <row r="8" spans="1:12" ht="23.45" customHeight="1" x14ac:dyDescent="0.2">
      <c r="A8" s="56" t="s">
        <v>117</v>
      </c>
      <c r="B8" s="110"/>
      <c r="C8" s="111"/>
      <c r="D8" s="112"/>
      <c r="E8" s="111"/>
      <c r="F8" s="111">
        <v>5</v>
      </c>
      <c r="G8" s="113"/>
      <c r="H8" s="50"/>
      <c r="I8" s="4"/>
      <c r="J8" s="4"/>
      <c r="K8" s="4"/>
      <c r="L8" s="4"/>
    </row>
    <row r="9" spans="1:12" ht="23.45" customHeight="1" x14ac:dyDescent="0.2">
      <c r="A9" s="56" t="s">
        <v>118</v>
      </c>
      <c r="B9" s="110"/>
      <c r="C9" s="111"/>
      <c r="D9" s="112"/>
      <c r="E9" s="111"/>
      <c r="F9" s="111">
        <v>5</v>
      </c>
      <c r="G9" s="113"/>
      <c r="H9" s="50"/>
      <c r="I9" s="4"/>
      <c r="J9" s="4"/>
      <c r="K9" s="4"/>
      <c r="L9" s="4"/>
    </row>
    <row r="10" spans="1:12" ht="17.25" customHeight="1" thickBot="1" x14ac:dyDescent="0.25">
      <c r="A10" s="57" t="s">
        <v>119</v>
      </c>
      <c r="B10" s="114"/>
      <c r="C10" s="115"/>
      <c r="D10" s="116">
        <v>3</v>
      </c>
      <c r="E10" s="116"/>
      <c r="F10" s="116"/>
      <c r="G10" s="117"/>
      <c r="H10" s="52"/>
      <c r="I10" s="4"/>
      <c r="J10" s="4"/>
      <c r="K10" s="4"/>
      <c r="L10" s="4"/>
    </row>
    <row r="11" spans="1:12" ht="14.65" customHeight="1" thickBot="1" x14ac:dyDescent="0.25">
      <c r="A11" s="18"/>
      <c r="B11" s="118">
        <f t="shared" ref="B11:G11" si="0">SUM(B3:B10)</f>
        <v>0</v>
      </c>
      <c r="C11" s="119">
        <f t="shared" si="0"/>
        <v>0</v>
      </c>
      <c r="D11" s="119">
        <f t="shared" si="0"/>
        <v>3</v>
      </c>
      <c r="E11" s="119">
        <f t="shared" si="0"/>
        <v>8</v>
      </c>
      <c r="F11" s="119">
        <f t="shared" si="0"/>
        <v>24</v>
      </c>
      <c r="G11" s="120">
        <f t="shared" si="0"/>
        <v>0</v>
      </c>
      <c r="H11" s="22">
        <f>SUM(B11:G11)/8</f>
        <v>4.375</v>
      </c>
      <c r="I11" s="10"/>
      <c r="J11" s="4"/>
      <c r="K11" s="4"/>
      <c r="L11" s="4"/>
    </row>
    <row r="12" spans="1:12" ht="14.65" customHeight="1" thickBot="1" x14ac:dyDescent="0.25">
      <c r="A12" s="40"/>
      <c r="B12" s="41"/>
      <c r="C12" s="41"/>
      <c r="D12" s="41"/>
      <c r="E12" s="41"/>
      <c r="F12" s="41"/>
      <c r="G12" s="41"/>
      <c r="H12" s="42"/>
      <c r="I12" s="43"/>
      <c r="J12" s="4"/>
      <c r="K12" s="4"/>
      <c r="L12" s="4"/>
    </row>
    <row r="13" spans="1:12" ht="14.65" customHeight="1" thickBot="1" x14ac:dyDescent="0.25">
      <c r="A13" s="1" t="s">
        <v>126</v>
      </c>
      <c r="B13" s="2"/>
      <c r="C13" s="3"/>
      <c r="D13" s="3"/>
      <c r="E13" s="3"/>
      <c r="F13" s="3"/>
      <c r="G13" s="3"/>
      <c r="H13" s="4"/>
      <c r="I13" s="43"/>
      <c r="J13" s="4"/>
      <c r="K13" s="4"/>
      <c r="L13" s="4"/>
    </row>
    <row r="14" spans="1:12" ht="22.5" x14ac:dyDescent="0.2">
      <c r="A14" s="11" t="s">
        <v>120</v>
      </c>
      <c r="B14" s="72"/>
      <c r="C14" s="73"/>
      <c r="D14" s="74"/>
      <c r="E14" s="73">
        <v>4</v>
      </c>
      <c r="F14" s="73"/>
      <c r="G14" s="75"/>
      <c r="H14" s="10"/>
      <c r="I14" s="43"/>
      <c r="J14" s="4"/>
      <c r="K14" s="4"/>
      <c r="L14" s="4"/>
    </row>
    <row r="15" spans="1:12" ht="22.5" x14ac:dyDescent="0.2">
      <c r="A15" s="11" t="s">
        <v>121</v>
      </c>
      <c r="B15" s="93"/>
      <c r="C15" s="94">
        <v>2</v>
      </c>
      <c r="D15" s="95"/>
      <c r="E15" s="94"/>
      <c r="F15" s="94"/>
      <c r="G15" s="96"/>
      <c r="H15" s="10"/>
      <c r="I15" s="43"/>
      <c r="J15" s="4"/>
      <c r="K15" s="4"/>
      <c r="L15" s="4"/>
    </row>
    <row r="16" spans="1:12" ht="22.5" x14ac:dyDescent="0.2">
      <c r="A16" s="11" t="s">
        <v>122</v>
      </c>
      <c r="B16" s="93"/>
      <c r="C16" s="94">
        <v>2</v>
      </c>
      <c r="D16" s="95"/>
      <c r="E16" s="94"/>
      <c r="F16" s="94"/>
      <c r="G16" s="96"/>
      <c r="H16" s="10"/>
      <c r="I16" s="43"/>
      <c r="J16" s="4"/>
      <c r="K16" s="4"/>
      <c r="L16" s="4"/>
    </row>
    <row r="17" spans="1:12" ht="22.5" x14ac:dyDescent="0.2">
      <c r="A17" s="11" t="s">
        <v>123</v>
      </c>
      <c r="B17" s="76"/>
      <c r="C17" s="77">
        <v>2</v>
      </c>
      <c r="D17" s="77"/>
      <c r="E17" s="78"/>
      <c r="F17" s="77"/>
      <c r="G17" s="79"/>
      <c r="H17" s="10"/>
      <c r="I17" s="43"/>
      <c r="J17" s="4"/>
      <c r="K17" s="4"/>
      <c r="L17" s="4"/>
    </row>
    <row r="18" spans="1:12" ht="28.5" customHeight="1" thickBot="1" x14ac:dyDescent="0.25">
      <c r="A18" s="44" t="s">
        <v>124</v>
      </c>
      <c r="B18" s="84"/>
      <c r="C18" s="86">
        <v>2</v>
      </c>
      <c r="D18" s="85"/>
      <c r="E18" s="85"/>
      <c r="F18" s="85"/>
      <c r="G18" s="87"/>
      <c r="H18" s="17"/>
      <c r="I18" s="43"/>
      <c r="J18" s="4"/>
      <c r="K18" s="4"/>
      <c r="L18" s="4"/>
    </row>
    <row r="19" spans="1:12" ht="14.65" customHeight="1" thickBot="1" x14ac:dyDescent="0.25">
      <c r="A19" s="18"/>
      <c r="B19" s="88">
        <f t="shared" ref="B19:G19" si="1">SUM(B14:B18)</f>
        <v>0</v>
      </c>
      <c r="C19" s="89">
        <f t="shared" si="1"/>
        <v>8</v>
      </c>
      <c r="D19" s="89">
        <f t="shared" si="1"/>
        <v>0</v>
      </c>
      <c r="E19" s="89">
        <f t="shared" si="1"/>
        <v>4</v>
      </c>
      <c r="F19" s="89">
        <f t="shared" si="1"/>
        <v>0</v>
      </c>
      <c r="G19" s="90">
        <f t="shared" si="1"/>
        <v>0</v>
      </c>
      <c r="H19" s="22">
        <f>SUM(B19:G19)/5</f>
        <v>2.4</v>
      </c>
      <c r="I19" s="43"/>
      <c r="J19" s="4"/>
      <c r="K19" s="4"/>
      <c r="L19" s="4"/>
    </row>
    <row r="20" spans="1:12" ht="14.65" customHeight="1" thickBot="1" x14ac:dyDescent="0.25">
      <c r="A20" s="23"/>
      <c r="B20" s="24"/>
      <c r="C20" s="24"/>
      <c r="D20" s="24"/>
      <c r="E20" s="24"/>
      <c r="F20" s="24"/>
      <c r="G20" s="24"/>
      <c r="H20" s="25"/>
      <c r="I20" s="4"/>
      <c r="J20" s="4"/>
      <c r="K20" s="4"/>
      <c r="L20" s="4"/>
    </row>
    <row r="21" spans="1:12" ht="14.65" customHeight="1" thickBot="1" x14ac:dyDescent="0.25">
      <c r="A21" s="1" t="s">
        <v>125</v>
      </c>
      <c r="B21" s="2"/>
      <c r="C21" s="3"/>
      <c r="D21" s="3"/>
      <c r="E21" s="3"/>
      <c r="F21" s="3"/>
      <c r="G21" s="3"/>
      <c r="H21" s="4"/>
      <c r="I21" s="4"/>
      <c r="J21" s="4"/>
      <c r="K21" s="4"/>
      <c r="L21" s="4"/>
    </row>
    <row r="22" spans="1:12" ht="23.45" customHeight="1" x14ac:dyDescent="0.2">
      <c r="A22" s="26" t="s">
        <v>127</v>
      </c>
      <c r="B22" s="97"/>
      <c r="C22" s="73"/>
      <c r="D22" s="73"/>
      <c r="E22" s="73"/>
      <c r="F22" s="73">
        <v>5</v>
      </c>
      <c r="G22" s="75"/>
      <c r="H22" s="10"/>
      <c r="I22" s="4"/>
      <c r="J22" s="4"/>
      <c r="K22" s="4"/>
      <c r="L22" s="4"/>
    </row>
    <row r="23" spans="1:12" ht="23.45" customHeight="1" thickBot="1" x14ac:dyDescent="0.25">
      <c r="A23" s="16" t="s">
        <v>128</v>
      </c>
      <c r="B23" s="92"/>
      <c r="C23" s="85"/>
      <c r="D23" s="85">
        <v>3</v>
      </c>
      <c r="E23" s="85"/>
      <c r="F23" s="85"/>
      <c r="G23" s="87"/>
      <c r="H23" s="17"/>
      <c r="I23" s="4"/>
      <c r="J23" s="4"/>
      <c r="K23" s="4"/>
      <c r="L23" s="4"/>
    </row>
    <row r="24" spans="1:12" ht="14.65" customHeight="1" thickBot="1" x14ac:dyDescent="0.25">
      <c r="A24" s="18"/>
      <c r="B24" s="88">
        <f t="shared" ref="B24:G24" si="2">SUM(B22:B23)</f>
        <v>0</v>
      </c>
      <c r="C24" s="89">
        <f t="shared" si="2"/>
        <v>0</v>
      </c>
      <c r="D24" s="89">
        <f t="shared" si="2"/>
        <v>3</v>
      </c>
      <c r="E24" s="89">
        <f t="shared" si="2"/>
        <v>0</v>
      </c>
      <c r="F24" s="89">
        <f t="shared" si="2"/>
        <v>5</v>
      </c>
      <c r="G24" s="90">
        <f t="shared" si="2"/>
        <v>0</v>
      </c>
      <c r="H24" s="27">
        <f>SUM(B24:G24)/2</f>
        <v>4</v>
      </c>
      <c r="I24" s="10"/>
      <c r="J24" s="4"/>
      <c r="K24" s="4"/>
      <c r="L24" s="4"/>
    </row>
    <row r="25" spans="1:12" ht="14.65" customHeight="1" thickBot="1" x14ac:dyDescent="0.25">
      <c r="A25" s="23"/>
      <c r="B25" s="24"/>
      <c r="C25" s="24"/>
      <c r="D25" s="24"/>
      <c r="E25" s="24"/>
      <c r="F25" s="24"/>
      <c r="G25" s="24"/>
      <c r="H25" s="38"/>
      <c r="I25" s="4"/>
      <c r="J25" s="4"/>
      <c r="K25" s="4"/>
      <c r="L25" s="4"/>
    </row>
    <row r="26" spans="1:12" ht="14.65" customHeight="1" thickBot="1" x14ac:dyDescent="0.25">
      <c r="A26" s="1" t="s">
        <v>129</v>
      </c>
      <c r="B26" s="2"/>
      <c r="C26" s="3"/>
      <c r="D26" s="3"/>
      <c r="E26" s="3"/>
      <c r="F26" s="3"/>
      <c r="G26" s="3"/>
      <c r="H26" s="4"/>
      <c r="I26" s="4"/>
      <c r="J26" s="4"/>
      <c r="K26" s="4"/>
      <c r="L26" s="4"/>
    </row>
    <row r="27" spans="1:12" ht="21" customHeight="1" thickBot="1" x14ac:dyDescent="0.25">
      <c r="A27" s="44" t="s">
        <v>130</v>
      </c>
      <c r="B27" s="84"/>
      <c r="C27" s="85"/>
      <c r="D27" s="85">
        <v>3</v>
      </c>
      <c r="E27" s="86"/>
      <c r="F27" s="85"/>
      <c r="G27" s="87"/>
      <c r="H27" s="17"/>
      <c r="I27" s="4"/>
      <c r="J27" s="4"/>
      <c r="K27" s="4"/>
      <c r="L27" s="4"/>
    </row>
    <row r="28" spans="1:12" ht="14.65" customHeight="1" thickBot="1" x14ac:dyDescent="0.25">
      <c r="A28" s="18"/>
      <c r="B28" s="98">
        <f t="shared" ref="B28:G28" si="3">SUM(B27:B27)</f>
        <v>0</v>
      </c>
      <c r="C28" s="99">
        <f t="shared" si="3"/>
        <v>0</v>
      </c>
      <c r="D28" s="99">
        <f t="shared" si="3"/>
        <v>3</v>
      </c>
      <c r="E28" s="99">
        <f t="shared" si="3"/>
        <v>0</v>
      </c>
      <c r="F28" s="99">
        <f t="shared" si="3"/>
        <v>0</v>
      </c>
      <c r="G28" s="100">
        <f t="shared" si="3"/>
        <v>0</v>
      </c>
      <c r="H28" s="27">
        <f>SUM(B28:G28)/1</f>
        <v>3</v>
      </c>
      <c r="I28" s="10"/>
      <c r="J28" s="4"/>
      <c r="K28" s="4"/>
      <c r="L28" s="4"/>
    </row>
    <row r="29" spans="1:12" ht="14.65" customHeight="1" thickBot="1" x14ac:dyDescent="0.25">
      <c r="A29" s="45"/>
      <c r="B29" s="101">
        <f>B11+B19+B24+B28</f>
        <v>0</v>
      </c>
      <c r="C29" s="102">
        <f t="shared" ref="C29:G29" si="4">C11+C19+C24+C28</f>
        <v>8</v>
      </c>
      <c r="D29" s="102">
        <f t="shared" si="4"/>
        <v>9</v>
      </c>
      <c r="E29" s="102">
        <f t="shared" si="4"/>
        <v>12</v>
      </c>
      <c r="F29" s="102">
        <f t="shared" si="4"/>
        <v>29</v>
      </c>
      <c r="G29" s="103">
        <f t="shared" si="4"/>
        <v>0</v>
      </c>
      <c r="H29" s="46">
        <f>SUM(B29:G29)/16</f>
        <v>3.625</v>
      </c>
      <c r="I29" s="10"/>
      <c r="J29" s="4"/>
      <c r="K29" s="4"/>
      <c r="L29" s="4"/>
    </row>
    <row r="30" spans="1:12" ht="14.1" customHeight="1" x14ac:dyDescent="0.2">
      <c r="A30" s="30"/>
      <c r="B30" s="47"/>
      <c r="C30" s="47"/>
      <c r="D30" s="47"/>
      <c r="E30" s="47"/>
      <c r="F30" s="47"/>
      <c r="G30" s="47"/>
      <c r="H30" s="31"/>
      <c r="I30" s="32"/>
      <c r="J30" s="32"/>
      <c r="K30" s="32"/>
      <c r="L30" s="32"/>
    </row>
    <row r="31" spans="1:12" ht="33.75" customHeight="1" x14ac:dyDescent="0.2">
      <c r="A31" s="30"/>
      <c r="B31" s="33"/>
      <c r="C31" s="33"/>
      <c r="D31" s="33"/>
      <c r="E31" s="33"/>
      <c r="F31" s="33"/>
      <c r="G31" s="34"/>
      <c r="H31" s="35" t="s">
        <v>22</v>
      </c>
      <c r="I31" s="35" t="s">
        <v>23</v>
      </c>
      <c r="J31" s="35" t="s">
        <v>24</v>
      </c>
      <c r="K31" s="35" t="s">
        <v>25</v>
      </c>
      <c r="L31" s="35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4B88-4522-4C2D-BBBF-2B49ACFD38DA}">
  <dimension ref="A1:L10"/>
  <sheetViews>
    <sheetView workbookViewId="0">
      <selection activeCell="B12" sqref="B12"/>
    </sheetView>
  </sheetViews>
  <sheetFormatPr baseColWidth="10" defaultColWidth="10.85546875" defaultRowHeight="12" customHeight="1" x14ac:dyDescent="0.2"/>
  <cols>
    <col min="1" max="1" width="63.42578125" style="5" customWidth="1"/>
    <col min="2" max="7" width="4.7109375" style="5" customWidth="1"/>
    <col min="8" max="12" width="15.7109375" style="5" customWidth="1"/>
    <col min="13" max="16384" width="10.85546875" style="5"/>
  </cols>
  <sheetData>
    <row r="1" spans="1:12" ht="14.65" customHeight="1" thickBot="1" x14ac:dyDescent="0.25">
      <c r="A1" s="1" t="s">
        <v>131</v>
      </c>
      <c r="B1" s="2"/>
      <c r="C1" s="3"/>
      <c r="D1" s="3"/>
      <c r="E1" s="3"/>
      <c r="F1" s="3"/>
      <c r="G1" s="3"/>
      <c r="H1" s="4"/>
      <c r="I1" s="4"/>
      <c r="J1" s="4"/>
      <c r="K1" s="4"/>
      <c r="L1" s="4"/>
    </row>
    <row r="2" spans="1:12" ht="14.65" customHeight="1" thickBot="1" x14ac:dyDescent="0.25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4"/>
      <c r="J2" s="4"/>
      <c r="K2" s="4"/>
      <c r="L2" s="4"/>
    </row>
    <row r="3" spans="1:12" ht="33.75" x14ac:dyDescent="0.2">
      <c r="A3" s="11" t="s">
        <v>132</v>
      </c>
      <c r="B3" s="72">
        <v>1</v>
      </c>
      <c r="C3" s="73"/>
      <c r="D3" s="73"/>
      <c r="E3" s="74"/>
      <c r="F3" s="73"/>
      <c r="G3" s="75"/>
      <c r="H3" s="10"/>
      <c r="I3" s="4"/>
      <c r="J3" s="4"/>
      <c r="K3" s="4"/>
      <c r="L3" s="4"/>
    </row>
    <row r="4" spans="1:12" ht="23.1" customHeight="1" x14ac:dyDescent="0.2">
      <c r="A4" s="11" t="s">
        <v>133</v>
      </c>
      <c r="B4" s="76">
        <v>1</v>
      </c>
      <c r="C4" s="77"/>
      <c r="D4" s="77"/>
      <c r="E4" s="78"/>
      <c r="F4" s="77"/>
      <c r="G4" s="79"/>
      <c r="H4" s="10"/>
      <c r="I4" s="4"/>
      <c r="J4" s="4"/>
      <c r="K4" s="4"/>
      <c r="L4" s="4"/>
    </row>
    <row r="5" spans="1:12" ht="45" x14ac:dyDescent="0.2">
      <c r="A5" s="11" t="s">
        <v>134</v>
      </c>
      <c r="B5" s="76">
        <v>1</v>
      </c>
      <c r="C5" s="77"/>
      <c r="D5" s="77"/>
      <c r="E5" s="78"/>
      <c r="F5" s="77"/>
      <c r="G5" s="79"/>
      <c r="H5" s="10"/>
      <c r="I5" s="4"/>
      <c r="J5" s="4"/>
      <c r="K5" s="4"/>
      <c r="L5" s="4"/>
    </row>
    <row r="6" spans="1:12" ht="45.75" thickBot="1" x14ac:dyDescent="0.25">
      <c r="A6" s="16" t="s">
        <v>135</v>
      </c>
      <c r="B6" s="84">
        <v>1</v>
      </c>
      <c r="C6" s="85"/>
      <c r="D6" s="85"/>
      <c r="E6" s="86"/>
      <c r="F6" s="85"/>
      <c r="G6" s="87"/>
      <c r="H6" s="17"/>
      <c r="I6" s="4"/>
      <c r="J6" s="4"/>
      <c r="K6" s="4"/>
      <c r="L6" s="4"/>
    </row>
    <row r="7" spans="1:12" ht="14.65" customHeight="1" thickBot="1" x14ac:dyDescent="0.25">
      <c r="A7" s="18"/>
      <c r="B7" s="88">
        <f t="shared" ref="B7:G7" si="0">SUM(B3:B6)</f>
        <v>4</v>
      </c>
      <c r="C7" s="89">
        <f t="shared" si="0"/>
        <v>0</v>
      </c>
      <c r="D7" s="89">
        <f t="shared" si="0"/>
        <v>0</v>
      </c>
      <c r="E7" s="89">
        <f t="shared" si="0"/>
        <v>0</v>
      </c>
      <c r="F7" s="89">
        <f t="shared" si="0"/>
        <v>0</v>
      </c>
      <c r="G7" s="90">
        <f t="shared" si="0"/>
        <v>0</v>
      </c>
      <c r="H7" s="22">
        <f>SUM(B7:G7)/4</f>
        <v>1</v>
      </c>
      <c r="I7" s="10"/>
      <c r="J7" s="4"/>
      <c r="K7" s="4"/>
      <c r="L7" s="4"/>
    </row>
    <row r="8" spans="1:12" ht="14.65" customHeight="1" thickBot="1" x14ac:dyDescent="0.25">
      <c r="A8" s="28"/>
      <c r="B8" s="88">
        <f t="shared" ref="B8:G8" si="1">B7</f>
        <v>4</v>
      </c>
      <c r="C8" s="89">
        <f t="shared" si="1"/>
        <v>0</v>
      </c>
      <c r="D8" s="89">
        <f t="shared" si="1"/>
        <v>0</v>
      </c>
      <c r="E8" s="89">
        <f t="shared" si="1"/>
        <v>0</v>
      </c>
      <c r="F8" s="89">
        <f t="shared" si="1"/>
        <v>0</v>
      </c>
      <c r="G8" s="90">
        <f t="shared" si="1"/>
        <v>0</v>
      </c>
      <c r="H8" s="29">
        <f>SUM(B8:G8)/4</f>
        <v>1</v>
      </c>
      <c r="I8" s="10"/>
      <c r="J8" s="4"/>
      <c r="K8" s="4"/>
      <c r="L8" s="4"/>
    </row>
    <row r="9" spans="1:12" ht="14.1" customHeight="1" x14ac:dyDescent="0.2">
      <c r="A9" s="30"/>
      <c r="B9" s="24"/>
      <c r="C9" s="24"/>
      <c r="D9" s="24"/>
      <c r="E9" s="24"/>
      <c r="F9" s="24"/>
      <c r="G9" s="24"/>
      <c r="H9" s="31"/>
      <c r="I9" s="32"/>
      <c r="J9" s="32"/>
      <c r="K9" s="32"/>
      <c r="L9" s="32"/>
    </row>
    <row r="10" spans="1:12" ht="33.75" customHeight="1" x14ac:dyDescent="0.2">
      <c r="A10" s="30"/>
      <c r="B10" s="33"/>
      <c r="C10" s="33"/>
      <c r="D10" s="33"/>
      <c r="E10" s="33"/>
      <c r="F10" s="33"/>
      <c r="G10" s="34"/>
      <c r="H10" s="35" t="s">
        <v>22</v>
      </c>
      <c r="I10" s="35" t="s">
        <v>23</v>
      </c>
      <c r="J10" s="35" t="s">
        <v>24</v>
      </c>
      <c r="K10" s="35" t="s">
        <v>25</v>
      </c>
      <c r="L10" s="35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8"/>
  <sheetViews>
    <sheetView showGridLines="0" workbookViewId="0">
      <selection activeCell="B66" sqref="B66"/>
    </sheetView>
  </sheetViews>
  <sheetFormatPr baseColWidth="10" defaultColWidth="10.85546875" defaultRowHeight="12" customHeight="1" x14ac:dyDescent="0.2"/>
  <cols>
    <col min="1" max="1" width="71.28515625" style="5" customWidth="1"/>
    <col min="2" max="7" width="4.7109375" style="5" customWidth="1"/>
    <col min="8" max="8" width="15.7109375" style="5" customWidth="1"/>
    <col min="9" max="9" width="4" style="5" customWidth="1"/>
    <col min="10" max="10" width="59.7109375" style="5" customWidth="1"/>
    <col min="11" max="11" width="10.85546875" style="5" customWidth="1"/>
    <col min="12" max="16384" width="10.85546875" style="5"/>
  </cols>
  <sheetData>
    <row r="1" spans="1:10" ht="14.65" customHeight="1" x14ac:dyDescent="0.2">
      <c r="A1" s="1" t="s">
        <v>180</v>
      </c>
      <c r="B1" s="2"/>
      <c r="C1" s="3"/>
      <c r="D1" s="3"/>
      <c r="E1" s="3"/>
      <c r="F1" s="3"/>
      <c r="G1" s="3"/>
      <c r="H1" s="4"/>
      <c r="I1" s="4"/>
      <c r="J1" s="4"/>
    </row>
    <row r="2" spans="1:10" ht="14.65" customHeight="1" x14ac:dyDescent="0.2">
      <c r="A2" s="6"/>
      <c r="B2" s="7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10"/>
      <c r="I2" s="58">
        <v>1</v>
      </c>
      <c r="J2" s="59" t="s">
        <v>27</v>
      </c>
    </row>
    <row r="3" spans="1:10" ht="14.1" customHeight="1" x14ac:dyDescent="0.2">
      <c r="A3" s="11" t="s">
        <v>137</v>
      </c>
      <c r="B3" s="72">
        <v>1</v>
      </c>
      <c r="C3" s="73"/>
      <c r="D3" s="73"/>
      <c r="E3" s="73"/>
      <c r="F3" s="74"/>
      <c r="G3" s="75"/>
      <c r="H3" s="10"/>
      <c r="I3" s="58">
        <v>2</v>
      </c>
      <c r="J3" s="59" t="s">
        <v>28</v>
      </c>
    </row>
    <row r="4" spans="1:10" ht="13.5" customHeight="1" x14ac:dyDescent="0.2">
      <c r="A4" s="11" t="s">
        <v>138</v>
      </c>
      <c r="B4" s="76">
        <v>1</v>
      </c>
      <c r="C4" s="77"/>
      <c r="D4" s="77"/>
      <c r="E4" s="77"/>
      <c r="F4" s="78"/>
      <c r="G4" s="79"/>
      <c r="H4" s="10"/>
      <c r="I4" s="58">
        <v>3</v>
      </c>
      <c r="J4" s="59" t="s">
        <v>29</v>
      </c>
    </row>
    <row r="5" spans="1:10" ht="13.5" customHeight="1" x14ac:dyDescent="0.2">
      <c r="A5" s="11" t="s">
        <v>139</v>
      </c>
      <c r="B5" s="76">
        <v>1</v>
      </c>
      <c r="C5" s="77"/>
      <c r="D5" s="77"/>
      <c r="E5" s="77"/>
      <c r="F5" s="78"/>
      <c r="G5" s="79"/>
      <c r="H5" s="10"/>
      <c r="I5" s="58">
        <v>4</v>
      </c>
      <c r="J5" s="59" t="s">
        <v>30</v>
      </c>
    </row>
    <row r="6" spans="1:10" ht="14.1" customHeight="1" x14ac:dyDescent="0.2">
      <c r="A6" s="16" t="s">
        <v>140</v>
      </c>
      <c r="B6" s="84">
        <v>1</v>
      </c>
      <c r="C6" s="85"/>
      <c r="D6" s="85"/>
      <c r="E6" s="85"/>
      <c r="F6" s="86"/>
      <c r="G6" s="87"/>
      <c r="H6" s="17"/>
      <c r="I6" s="58">
        <v>5</v>
      </c>
      <c r="J6" s="59" t="s">
        <v>31</v>
      </c>
    </row>
    <row r="7" spans="1:10" ht="14.65" customHeight="1" x14ac:dyDescent="0.2">
      <c r="A7" s="18"/>
      <c r="B7" s="88">
        <f t="shared" ref="B7:G7" si="0">SUM(B3:B6)</f>
        <v>4</v>
      </c>
      <c r="C7" s="89">
        <f t="shared" si="0"/>
        <v>0</v>
      </c>
      <c r="D7" s="89">
        <f t="shared" si="0"/>
        <v>0</v>
      </c>
      <c r="E7" s="89">
        <f t="shared" si="0"/>
        <v>0</v>
      </c>
      <c r="F7" s="89">
        <f t="shared" si="0"/>
        <v>0</v>
      </c>
      <c r="G7" s="90">
        <f t="shared" si="0"/>
        <v>0</v>
      </c>
      <c r="H7" s="22">
        <f>SUM(B7:G7)/4</f>
        <v>1</v>
      </c>
      <c r="I7" s="60">
        <v>6</v>
      </c>
      <c r="J7" s="59" t="s">
        <v>32</v>
      </c>
    </row>
    <row r="8" spans="1:10" ht="14.65" customHeight="1" x14ac:dyDescent="0.2">
      <c r="A8" s="23"/>
      <c r="B8" s="24"/>
      <c r="C8" s="24"/>
      <c r="D8" s="24"/>
      <c r="E8" s="24"/>
      <c r="F8" s="24"/>
      <c r="G8" s="24"/>
      <c r="H8" s="25"/>
      <c r="I8" s="4"/>
      <c r="J8" s="4"/>
    </row>
    <row r="9" spans="1:10" ht="14.65" customHeight="1" x14ac:dyDescent="0.2">
      <c r="A9" s="1" t="s">
        <v>181</v>
      </c>
      <c r="B9" s="2"/>
      <c r="C9" s="3"/>
      <c r="D9" s="3"/>
      <c r="E9" s="3"/>
      <c r="F9" s="3"/>
      <c r="G9" s="3"/>
      <c r="H9" s="4"/>
      <c r="I9" s="4"/>
      <c r="J9" s="4"/>
    </row>
    <row r="10" spans="1:10" ht="14.1" customHeight="1" x14ac:dyDescent="0.2">
      <c r="A10" s="26" t="s">
        <v>141</v>
      </c>
      <c r="B10" s="72">
        <v>1</v>
      </c>
      <c r="C10" s="73"/>
      <c r="D10" s="73"/>
      <c r="E10" s="73"/>
      <c r="F10" s="74"/>
      <c r="G10" s="75"/>
      <c r="H10" s="10"/>
      <c r="I10" s="4"/>
      <c r="J10" s="4"/>
    </row>
    <row r="11" spans="1:10" ht="13.5" customHeight="1" x14ac:dyDescent="0.2">
      <c r="A11" s="11" t="s">
        <v>142</v>
      </c>
      <c r="B11" s="91">
        <v>1</v>
      </c>
      <c r="C11" s="77"/>
      <c r="D11" s="77"/>
      <c r="E11" s="77"/>
      <c r="F11" s="77"/>
      <c r="G11" s="79"/>
      <c r="H11" s="10"/>
      <c r="I11" s="4"/>
      <c r="J11" s="4"/>
    </row>
    <row r="12" spans="1:10" ht="13.5" customHeight="1" x14ac:dyDescent="0.2">
      <c r="A12" s="11" t="s">
        <v>143</v>
      </c>
      <c r="B12" s="91">
        <v>1</v>
      </c>
      <c r="C12" s="77"/>
      <c r="D12" s="77"/>
      <c r="E12" s="77"/>
      <c r="F12" s="77"/>
      <c r="G12" s="79"/>
      <c r="H12" s="10"/>
      <c r="I12" s="4"/>
      <c r="J12" s="4"/>
    </row>
    <row r="13" spans="1:10" ht="13.5" customHeight="1" x14ac:dyDescent="0.2">
      <c r="A13" s="11" t="s">
        <v>144</v>
      </c>
      <c r="B13" s="91">
        <v>1</v>
      </c>
      <c r="C13" s="77"/>
      <c r="D13" s="77"/>
      <c r="E13" s="77"/>
      <c r="F13" s="77"/>
      <c r="G13" s="79"/>
      <c r="H13" s="10"/>
      <c r="I13" s="4"/>
      <c r="J13" s="4"/>
    </row>
    <row r="14" spans="1:10" ht="14.1" customHeight="1" x14ac:dyDescent="0.2">
      <c r="A14" s="16" t="s">
        <v>145</v>
      </c>
      <c r="B14" s="92">
        <v>1</v>
      </c>
      <c r="C14" s="85"/>
      <c r="D14" s="85"/>
      <c r="E14" s="85"/>
      <c r="F14" s="85"/>
      <c r="G14" s="87"/>
      <c r="H14" s="17"/>
      <c r="I14" s="4"/>
      <c r="J14" s="4"/>
    </row>
    <row r="15" spans="1:10" ht="14.65" customHeight="1" x14ac:dyDescent="0.2">
      <c r="A15" s="18"/>
      <c r="B15" s="88">
        <f t="shared" ref="B15:G15" si="1">SUM(B10:B14)</f>
        <v>5</v>
      </c>
      <c r="C15" s="89">
        <f t="shared" si="1"/>
        <v>0</v>
      </c>
      <c r="D15" s="89">
        <f t="shared" si="1"/>
        <v>0</v>
      </c>
      <c r="E15" s="89">
        <f t="shared" si="1"/>
        <v>0</v>
      </c>
      <c r="F15" s="89">
        <f t="shared" si="1"/>
        <v>0</v>
      </c>
      <c r="G15" s="90">
        <f t="shared" si="1"/>
        <v>0</v>
      </c>
      <c r="H15" s="27">
        <f>SUM(B15:G15)/5</f>
        <v>1</v>
      </c>
      <c r="I15" s="10"/>
      <c r="J15" s="4"/>
    </row>
    <row r="16" spans="1:10" ht="14.65" customHeight="1" x14ac:dyDescent="0.2">
      <c r="A16" s="23"/>
      <c r="B16" s="24"/>
      <c r="C16" s="24"/>
      <c r="D16" s="24"/>
      <c r="E16" s="24"/>
      <c r="F16" s="24"/>
      <c r="G16" s="24"/>
      <c r="H16" s="38"/>
      <c r="I16" s="4"/>
      <c r="J16" s="4"/>
    </row>
    <row r="17" spans="1:10" ht="14.65" customHeight="1" x14ac:dyDescent="0.2">
      <c r="A17" s="1" t="s">
        <v>182</v>
      </c>
      <c r="B17" s="2"/>
      <c r="C17" s="3"/>
      <c r="D17" s="3"/>
      <c r="E17" s="3"/>
      <c r="F17" s="3"/>
      <c r="G17" s="3"/>
      <c r="H17" s="4"/>
      <c r="I17" s="4"/>
      <c r="J17" s="4"/>
    </row>
    <row r="18" spans="1:10" ht="14.1" customHeight="1" x14ac:dyDescent="0.2">
      <c r="A18" s="26" t="s">
        <v>146</v>
      </c>
      <c r="B18" s="72">
        <v>1</v>
      </c>
      <c r="C18" s="73"/>
      <c r="D18" s="73"/>
      <c r="E18" s="73"/>
      <c r="F18" s="74"/>
      <c r="G18" s="75"/>
      <c r="H18" s="10"/>
      <c r="I18" s="4"/>
      <c r="J18" s="4"/>
    </row>
    <row r="19" spans="1:10" ht="13.5" customHeight="1" x14ac:dyDescent="0.2">
      <c r="A19" s="11" t="s">
        <v>147</v>
      </c>
      <c r="B19" s="76">
        <v>1</v>
      </c>
      <c r="C19" s="77"/>
      <c r="D19" s="77"/>
      <c r="E19" s="77"/>
      <c r="F19" s="78"/>
      <c r="G19" s="79"/>
      <c r="H19" s="10"/>
      <c r="I19" s="4"/>
      <c r="J19" s="4"/>
    </row>
    <row r="20" spans="1:10" ht="13.5" customHeight="1" x14ac:dyDescent="0.2">
      <c r="A20" s="11" t="s">
        <v>148</v>
      </c>
      <c r="B20" s="76">
        <v>1</v>
      </c>
      <c r="C20" s="77"/>
      <c r="D20" s="77"/>
      <c r="E20" s="77"/>
      <c r="F20" s="78"/>
      <c r="G20" s="79"/>
      <c r="H20" s="10"/>
      <c r="I20" s="4"/>
      <c r="J20" s="4"/>
    </row>
    <row r="21" spans="1:10" ht="13.5" customHeight="1" x14ac:dyDescent="0.2">
      <c r="A21" s="11" t="s">
        <v>149</v>
      </c>
      <c r="B21" s="91">
        <v>1</v>
      </c>
      <c r="C21" s="77"/>
      <c r="D21" s="77"/>
      <c r="E21" s="77"/>
      <c r="F21" s="77"/>
      <c r="G21" s="79"/>
      <c r="H21" s="10"/>
      <c r="I21" s="4"/>
      <c r="J21" s="4"/>
    </row>
    <row r="22" spans="1:10" ht="13.5" customHeight="1" x14ac:dyDescent="0.2">
      <c r="A22" s="11" t="s">
        <v>150</v>
      </c>
      <c r="B22" s="91">
        <v>1</v>
      </c>
      <c r="C22" s="77"/>
      <c r="D22" s="77"/>
      <c r="E22" s="77"/>
      <c r="F22" s="77"/>
      <c r="G22" s="79"/>
      <c r="H22" s="10"/>
      <c r="I22" s="4"/>
      <c r="J22" s="4"/>
    </row>
    <row r="23" spans="1:10" ht="13.5" customHeight="1" x14ac:dyDescent="0.2">
      <c r="A23" s="11" t="s">
        <v>151</v>
      </c>
      <c r="B23" s="91">
        <v>1</v>
      </c>
      <c r="C23" s="77"/>
      <c r="D23" s="77"/>
      <c r="E23" s="77"/>
      <c r="F23" s="77"/>
      <c r="G23" s="79"/>
      <c r="H23" s="10"/>
      <c r="I23" s="4"/>
      <c r="J23" s="4"/>
    </row>
    <row r="24" spans="1:10" ht="13.5" customHeight="1" x14ac:dyDescent="0.2">
      <c r="A24" s="11" t="s">
        <v>152</v>
      </c>
      <c r="B24" s="91">
        <v>1</v>
      </c>
      <c r="C24" s="77"/>
      <c r="D24" s="77"/>
      <c r="E24" s="77"/>
      <c r="F24" s="77"/>
      <c r="G24" s="79"/>
      <c r="H24" s="10"/>
      <c r="I24" s="4"/>
      <c r="J24" s="4"/>
    </row>
    <row r="25" spans="1:10" ht="13.5" customHeight="1" x14ac:dyDescent="0.2">
      <c r="A25" s="11" t="s">
        <v>153</v>
      </c>
      <c r="B25" s="91">
        <v>1</v>
      </c>
      <c r="C25" s="77"/>
      <c r="D25" s="77"/>
      <c r="E25" s="77"/>
      <c r="F25" s="77"/>
      <c r="G25" s="79"/>
      <c r="H25" s="10"/>
      <c r="I25" s="4"/>
      <c r="J25" s="4"/>
    </row>
    <row r="26" spans="1:10" ht="13.5" customHeight="1" x14ac:dyDescent="0.2">
      <c r="A26" s="11" t="s">
        <v>154</v>
      </c>
      <c r="B26" s="91">
        <v>1</v>
      </c>
      <c r="C26" s="77"/>
      <c r="D26" s="77"/>
      <c r="E26" s="77"/>
      <c r="F26" s="77"/>
      <c r="G26" s="79"/>
      <c r="H26" s="10"/>
      <c r="I26" s="4"/>
      <c r="J26" s="4"/>
    </row>
    <row r="27" spans="1:10" ht="13.5" customHeight="1" x14ac:dyDescent="0.2">
      <c r="A27" s="11" t="s">
        <v>155</v>
      </c>
      <c r="B27" s="91">
        <v>1</v>
      </c>
      <c r="C27" s="77"/>
      <c r="D27" s="77"/>
      <c r="E27" s="77"/>
      <c r="F27" s="77"/>
      <c r="G27" s="79"/>
      <c r="H27" s="10"/>
      <c r="I27" s="4"/>
      <c r="J27" s="4"/>
    </row>
    <row r="28" spans="1:10" ht="14.1" customHeight="1" x14ac:dyDescent="0.2">
      <c r="A28" s="16" t="s">
        <v>156</v>
      </c>
      <c r="B28" s="92">
        <v>1</v>
      </c>
      <c r="C28" s="85"/>
      <c r="D28" s="85"/>
      <c r="E28" s="85"/>
      <c r="F28" s="85"/>
      <c r="G28" s="87"/>
      <c r="H28" s="17"/>
      <c r="I28" s="4"/>
      <c r="J28" s="4"/>
    </row>
    <row r="29" spans="1:10" ht="14.65" customHeight="1" x14ac:dyDescent="0.2">
      <c r="A29" s="18"/>
      <c r="B29" s="88">
        <f t="shared" ref="B29:G29" si="2">SUM(B18:B28)</f>
        <v>11</v>
      </c>
      <c r="C29" s="89">
        <f t="shared" si="2"/>
        <v>0</v>
      </c>
      <c r="D29" s="89">
        <f t="shared" si="2"/>
        <v>0</v>
      </c>
      <c r="E29" s="89">
        <f t="shared" si="2"/>
        <v>0</v>
      </c>
      <c r="F29" s="89">
        <f t="shared" si="2"/>
        <v>0</v>
      </c>
      <c r="G29" s="90">
        <f t="shared" si="2"/>
        <v>0</v>
      </c>
      <c r="H29" s="27">
        <f>SUM(B29:G29)/11</f>
        <v>1</v>
      </c>
      <c r="I29" s="10"/>
      <c r="J29" s="4"/>
    </row>
    <row r="30" spans="1:10" ht="14.65" customHeight="1" x14ac:dyDescent="0.2">
      <c r="A30" s="23"/>
      <c r="B30" s="24"/>
      <c r="C30" s="24"/>
      <c r="D30" s="24"/>
      <c r="E30" s="24"/>
      <c r="F30" s="24"/>
      <c r="G30" s="24"/>
      <c r="H30" s="38"/>
      <c r="I30" s="4"/>
      <c r="J30" s="4"/>
    </row>
    <row r="31" spans="1:10" ht="14.65" customHeight="1" x14ac:dyDescent="0.2">
      <c r="A31" s="1" t="s">
        <v>183</v>
      </c>
      <c r="B31" s="2"/>
      <c r="C31" s="3"/>
      <c r="D31" s="3"/>
      <c r="E31" s="3"/>
      <c r="F31" s="3"/>
      <c r="G31" s="3"/>
      <c r="H31" s="4"/>
      <c r="I31" s="4"/>
      <c r="J31" s="4"/>
    </row>
    <row r="32" spans="1:10" ht="14.1" customHeight="1" x14ac:dyDescent="0.2">
      <c r="A32" s="26" t="s">
        <v>157</v>
      </c>
      <c r="B32" s="97">
        <v>1</v>
      </c>
      <c r="C32" s="73"/>
      <c r="D32" s="73"/>
      <c r="E32" s="73"/>
      <c r="F32" s="73"/>
      <c r="G32" s="75"/>
      <c r="H32" s="10"/>
      <c r="I32" s="4"/>
      <c r="J32" s="4"/>
    </row>
    <row r="33" spans="1:10" ht="13.5" customHeight="1" x14ac:dyDescent="0.2">
      <c r="A33" s="11" t="s">
        <v>158</v>
      </c>
      <c r="B33" s="91">
        <v>1</v>
      </c>
      <c r="C33" s="77"/>
      <c r="D33" s="77"/>
      <c r="E33" s="77"/>
      <c r="F33" s="77"/>
      <c r="G33" s="79"/>
      <c r="H33" s="10"/>
      <c r="I33" s="4"/>
      <c r="J33" s="4"/>
    </row>
    <row r="34" spans="1:10" ht="14.1" customHeight="1" x14ac:dyDescent="0.2">
      <c r="A34" s="16" t="s">
        <v>159</v>
      </c>
      <c r="B34" s="92">
        <v>1</v>
      </c>
      <c r="C34" s="85"/>
      <c r="D34" s="85"/>
      <c r="E34" s="85"/>
      <c r="F34" s="85"/>
      <c r="G34" s="87"/>
      <c r="H34" s="17"/>
      <c r="I34" s="4"/>
      <c r="J34" s="4"/>
    </row>
    <row r="35" spans="1:10" ht="14.65" customHeight="1" x14ac:dyDescent="0.2">
      <c r="A35" s="61"/>
      <c r="B35" s="89">
        <f t="shared" ref="B35:G35" si="3">SUM(B32:B34)</f>
        <v>3</v>
      </c>
      <c r="C35" s="89">
        <f t="shared" si="3"/>
        <v>0</v>
      </c>
      <c r="D35" s="89">
        <f t="shared" si="3"/>
        <v>0</v>
      </c>
      <c r="E35" s="89">
        <f t="shared" si="3"/>
        <v>0</v>
      </c>
      <c r="F35" s="89">
        <f t="shared" si="3"/>
        <v>0</v>
      </c>
      <c r="G35" s="90">
        <f t="shared" si="3"/>
        <v>0</v>
      </c>
      <c r="H35" s="27">
        <f>SUM(B35:G35)/3</f>
        <v>1</v>
      </c>
      <c r="I35" s="10"/>
      <c r="J35" s="4"/>
    </row>
    <row r="36" spans="1:10" ht="14.65" customHeight="1" x14ac:dyDescent="0.2">
      <c r="A36" s="23"/>
      <c r="B36" s="24"/>
      <c r="C36" s="24"/>
      <c r="D36" s="24"/>
      <c r="E36" s="24"/>
      <c r="F36" s="24"/>
      <c r="G36" s="24"/>
      <c r="H36" s="38"/>
      <c r="I36" s="4"/>
      <c r="J36" s="4"/>
    </row>
    <row r="37" spans="1:10" ht="14.65" customHeight="1" x14ac:dyDescent="0.2">
      <c r="A37" s="1" t="s">
        <v>184</v>
      </c>
      <c r="B37" s="2"/>
      <c r="C37" s="3"/>
      <c r="D37" s="3"/>
      <c r="E37" s="3"/>
      <c r="F37" s="3"/>
      <c r="G37" s="3"/>
      <c r="H37" s="4"/>
      <c r="I37" s="4"/>
      <c r="J37" s="4"/>
    </row>
    <row r="38" spans="1:10" ht="14.1" customHeight="1" x14ac:dyDescent="0.2">
      <c r="A38" s="26" t="s">
        <v>165</v>
      </c>
      <c r="B38" s="97">
        <v>1</v>
      </c>
      <c r="C38" s="73"/>
      <c r="D38" s="73"/>
      <c r="E38" s="73"/>
      <c r="F38" s="73"/>
      <c r="G38" s="75"/>
      <c r="H38" s="10"/>
      <c r="I38" s="4"/>
      <c r="J38" s="4"/>
    </row>
    <row r="39" spans="1:10" ht="13.5" customHeight="1" x14ac:dyDescent="0.2">
      <c r="A39" s="11" t="s">
        <v>160</v>
      </c>
      <c r="B39" s="91">
        <v>1</v>
      </c>
      <c r="C39" s="77"/>
      <c r="D39" s="77"/>
      <c r="E39" s="77"/>
      <c r="F39" s="77"/>
      <c r="G39" s="79"/>
      <c r="H39" s="10"/>
      <c r="I39" s="4"/>
      <c r="J39" s="4"/>
    </row>
    <row r="40" spans="1:10" ht="13.5" customHeight="1" x14ac:dyDescent="0.2">
      <c r="A40" s="11" t="s">
        <v>161</v>
      </c>
      <c r="B40" s="76">
        <v>1</v>
      </c>
      <c r="C40" s="77"/>
      <c r="D40" s="77"/>
      <c r="E40" s="77"/>
      <c r="F40" s="78"/>
      <c r="G40" s="79"/>
      <c r="H40" s="10"/>
      <c r="I40" s="4"/>
      <c r="J40" s="4"/>
    </row>
    <row r="41" spans="1:10" ht="13.5" customHeight="1" x14ac:dyDescent="0.2">
      <c r="A41" s="11" t="s">
        <v>162</v>
      </c>
      <c r="B41" s="76">
        <v>1</v>
      </c>
      <c r="C41" s="77"/>
      <c r="D41" s="77"/>
      <c r="E41" s="77"/>
      <c r="F41" s="78"/>
      <c r="G41" s="79"/>
      <c r="H41" s="10"/>
      <c r="I41" s="4"/>
      <c r="J41" s="4"/>
    </row>
    <row r="42" spans="1:10" ht="13.5" customHeight="1" x14ac:dyDescent="0.2">
      <c r="A42" s="11" t="s">
        <v>163</v>
      </c>
      <c r="B42" s="91">
        <v>1</v>
      </c>
      <c r="C42" s="77"/>
      <c r="D42" s="77"/>
      <c r="E42" s="77"/>
      <c r="F42" s="77"/>
      <c r="G42" s="79"/>
      <c r="H42" s="10"/>
      <c r="I42" s="4"/>
      <c r="J42" s="4"/>
    </row>
    <row r="43" spans="1:10" ht="13.5" customHeight="1" x14ac:dyDescent="0.2">
      <c r="A43" s="11" t="s">
        <v>164</v>
      </c>
      <c r="B43" s="91">
        <v>1</v>
      </c>
      <c r="C43" s="77"/>
      <c r="D43" s="77"/>
      <c r="E43" s="77"/>
      <c r="F43" s="77"/>
      <c r="G43" s="79"/>
      <c r="H43" s="10"/>
      <c r="I43" s="4"/>
      <c r="J43" s="4"/>
    </row>
    <row r="44" spans="1:10" ht="13.5" customHeight="1" x14ac:dyDescent="0.2">
      <c r="A44" s="11" t="s">
        <v>166</v>
      </c>
      <c r="B44" s="91">
        <v>1</v>
      </c>
      <c r="C44" s="77"/>
      <c r="D44" s="77"/>
      <c r="E44" s="77"/>
      <c r="F44" s="77"/>
      <c r="G44" s="79"/>
      <c r="H44" s="10"/>
      <c r="I44" s="4"/>
      <c r="J44" s="4"/>
    </row>
    <row r="45" spans="1:10" ht="14.1" customHeight="1" x14ac:dyDescent="0.2">
      <c r="A45" s="16" t="s">
        <v>167</v>
      </c>
      <c r="B45" s="92">
        <v>1</v>
      </c>
      <c r="C45" s="85"/>
      <c r="D45" s="85"/>
      <c r="E45" s="85"/>
      <c r="F45" s="85"/>
      <c r="G45" s="87"/>
      <c r="H45" s="17"/>
      <c r="I45" s="4"/>
      <c r="J45" s="4"/>
    </row>
    <row r="46" spans="1:10" ht="14.65" customHeight="1" x14ac:dyDescent="0.2">
      <c r="A46" s="18"/>
      <c r="B46" s="88">
        <f t="shared" ref="B46:G46" si="4">SUM(B38:B45)</f>
        <v>8</v>
      </c>
      <c r="C46" s="89">
        <f t="shared" si="4"/>
        <v>0</v>
      </c>
      <c r="D46" s="89">
        <f t="shared" si="4"/>
        <v>0</v>
      </c>
      <c r="E46" s="89">
        <f t="shared" si="4"/>
        <v>0</v>
      </c>
      <c r="F46" s="89">
        <f t="shared" si="4"/>
        <v>0</v>
      </c>
      <c r="G46" s="90">
        <f t="shared" si="4"/>
        <v>0</v>
      </c>
      <c r="H46" s="27">
        <f>SUM(B46:G46)/8</f>
        <v>1</v>
      </c>
      <c r="I46" s="10"/>
      <c r="J46" s="4"/>
    </row>
    <row r="47" spans="1:10" ht="14.65" customHeight="1" thickBot="1" x14ac:dyDescent="0.25">
      <c r="A47" s="23"/>
      <c r="B47" s="24"/>
      <c r="C47" s="24"/>
      <c r="D47" s="24"/>
      <c r="E47" s="24"/>
      <c r="F47" s="24"/>
      <c r="G47" s="24"/>
      <c r="H47" s="38"/>
      <c r="I47" s="4"/>
      <c r="J47" s="4"/>
    </row>
    <row r="48" spans="1:10" ht="14.65" customHeight="1" thickBot="1" x14ac:dyDescent="0.25">
      <c r="A48" s="63" t="s">
        <v>185</v>
      </c>
      <c r="B48" s="2"/>
      <c r="C48" s="3"/>
      <c r="D48" s="3"/>
      <c r="E48" s="3"/>
      <c r="F48" s="3"/>
      <c r="G48" s="3"/>
      <c r="H48" s="4"/>
      <c r="I48" s="4"/>
      <c r="J48" s="4"/>
    </row>
    <row r="49" spans="1:10" ht="14.1" customHeight="1" thickBot="1" x14ac:dyDescent="0.25">
      <c r="A49" s="65" t="s">
        <v>169</v>
      </c>
      <c r="B49" s="62">
        <v>1</v>
      </c>
      <c r="C49" s="12"/>
      <c r="D49" s="12"/>
      <c r="E49" s="12"/>
      <c r="F49" s="12"/>
      <c r="G49" s="13"/>
      <c r="H49" s="10"/>
      <c r="I49" s="4"/>
      <c r="J49" s="4"/>
    </row>
    <row r="50" spans="1:10" ht="14.65" customHeight="1" thickBot="1" x14ac:dyDescent="0.25">
      <c r="A50" s="64"/>
      <c r="B50" s="19">
        <f t="shared" ref="B50:G50" si="5">SUM(B49:B49)</f>
        <v>1</v>
      </c>
      <c r="C50" s="20">
        <f t="shared" si="5"/>
        <v>0</v>
      </c>
      <c r="D50" s="20">
        <f t="shared" si="5"/>
        <v>0</v>
      </c>
      <c r="E50" s="20">
        <f t="shared" si="5"/>
        <v>0</v>
      </c>
      <c r="F50" s="20">
        <f t="shared" si="5"/>
        <v>0</v>
      </c>
      <c r="G50" s="21">
        <f t="shared" si="5"/>
        <v>0</v>
      </c>
      <c r="H50" s="27">
        <f>SUM(B50:G50)/1</f>
        <v>1</v>
      </c>
      <c r="I50" s="10"/>
      <c r="J50" s="4"/>
    </row>
    <row r="51" spans="1:10" ht="12" customHeight="1" thickBot="1" x14ac:dyDescent="0.25"/>
    <row r="52" spans="1:10" ht="14.65" customHeight="1" thickBot="1" x14ac:dyDescent="0.25">
      <c r="A52" s="63" t="s">
        <v>186</v>
      </c>
      <c r="B52" s="2"/>
      <c r="C52" s="3"/>
      <c r="D52" s="3"/>
      <c r="E52" s="3"/>
      <c r="F52" s="3"/>
      <c r="G52" s="3"/>
      <c r="H52" s="4"/>
      <c r="I52" s="4"/>
      <c r="J52" s="4"/>
    </row>
    <row r="53" spans="1:10" ht="14.1" customHeight="1" thickBot="1" x14ac:dyDescent="0.25">
      <c r="A53" s="65" t="s">
        <v>171</v>
      </c>
      <c r="B53" s="62">
        <v>1</v>
      </c>
      <c r="C53" s="12"/>
      <c r="D53" s="12"/>
      <c r="E53" s="12"/>
      <c r="F53" s="12"/>
      <c r="G53" s="13"/>
      <c r="H53" s="10"/>
      <c r="I53" s="4"/>
      <c r="J53" s="4"/>
    </row>
    <row r="54" spans="1:10" ht="14.65" customHeight="1" thickBot="1" x14ac:dyDescent="0.25">
      <c r="A54" s="64"/>
      <c r="B54" s="19">
        <f t="shared" ref="B54:G54" si="6">SUM(B53:B53)</f>
        <v>1</v>
      </c>
      <c r="C54" s="20">
        <f t="shared" si="6"/>
        <v>0</v>
      </c>
      <c r="D54" s="20">
        <f t="shared" si="6"/>
        <v>0</v>
      </c>
      <c r="E54" s="20">
        <f t="shared" si="6"/>
        <v>0</v>
      </c>
      <c r="F54" s="20">
        <f t="shared" si="6"/>
        <v>0</v>
      </c>
      <c r="G54" s="21">
        <f t="shared" si="6"/>
        <v>0</v>
      </c>
      <c r="H54" s="27">
        <f>SUM(B54:G54)/1</f>
        <v>1</v>
      </c>
      <c r="I54" s="10"/>
      <c r="J54" s="4"/>
    </row>
    <row r="55" spans="1:10" ht="12" customHeight="1" thickBot="1" x14ac:dyDescent="0.25"/>
    <row r="56" spans="1:10" ht="14.65" customHeight="1" thickBot="1" x14ac:dyDescent="0.25">
      <c r="A56" s="63" t="s">
        <v>187</v>
      </c>
      <c r="B56" s="2"/>
      <c r="C56" s="3"/>
      <c r="D56" s="3"/>
      <c r="E56" s="3"/>
      <c r="F56" s="3"/>
      <c r="G56" s="3"/>
      <c r="H56" s="4"/>
      <c r="I56" s="4"/>
      <c r="J56" s="4"/>
    </row>
    <row r="57" spans="1:10" ht="14.1" customHeight="1" thickBot="1" x14ac:dyDescent="0.25">
      <c r="A57" s="65" t="s">
        <v>173</v>
      </c>
      <c r="B57" s="62">
        <v>1</v>
      </c>
      <c r="C57" s="12"/>
      <c r="D57" s="12"/>
      <c r="E57" s="12"/>
      <c r="F57" s="12"/>
      <c r="G57" s="13"/>
      <c r="H57" s="10"/>
      <c r="I57" s="4"/>
      <c r="J57" s="4"/>
    </row>
    <row r="58" spans="1:10" ht="14.65" customHeight="1" thickBot="1" x14ac:dyDescent="0.25">
      <c r="A58" s="64"/>
      <c r="B58" s="19">
        <f t="shared" ref="B58:G58" si="7">SUM(B57:B57)</f>
        <v>1</v>
      </c>
      <c r="C58" s="20">
        <f t="shared" si="7"/>
        <v>0</v>
      </c>
      <c r="D58" s="20">
        <f t="shared" si="7"/>
        <v>0</v>
      </c>
      <c r="E58" s="20">
        <f t="shared" si="7"/>
        <v>0</v>
      </c>
      <c r="F58" s="20">
        <f t="shared" si="7"/>
        <v>0</v>
      </c>
      <c r="G58" s="21">
        <f t="shared" si="7"/>
        <v>0</v>
      </c>
      <c r="H58" s="27">
        <f>SUM(B58:G58)/1</f>
        <v>1</v>
      </c>
      <c r="I58" s="10"/>
      <c r="J58" s="4"/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Consolidado</vt:lpstr>
      <vt:lpstr>Filosofía Organizacional</vt:lpstr>
      <vt:lpstr>Estrategias Organizacionales</vt:lpstr>
      <vt:lpstr>Enfoque a Cl Usua y Mdos</vt:lpstr>
      <vt:lpstr>Recursos Humanos</vt:lpstr>
      <vt:lpstr>Dis y Des de Prod Proc Servs</vt:lpstr>
      <vt:lpstr>Procesos</vt:lpstr>
      <vt:lpstr>Proveedores</vt:lpstr>
      <vt:lpstr>Impacto Ambiental</vt:lpstr>
      <vt:lpstr>Factores Psicosociales</vt:lpstr>
      <vt:lpstr>Resiliencia y Gestión Entornos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Nandayapa Cisneros</dc:creator>
  <cp:lastModifiedBy>Carlos Nandayapa Cisneros</cp:lastModifiedBy>
  <dcterms:created xsi:type="dcterms:W3CDTF">2022-01-17T15:42:40Z</dcterms:created>
  <dcterms:modified xsi:type="dcterms:W3CDTF">2026-03-30T20:10:18Z</dcterms:modified>
</cp:coreProperties>
</file>